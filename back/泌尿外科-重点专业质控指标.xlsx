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880"/>
  </bookViews>
  <sheets>
    <sheet name="重点专业采集方案" sheetId="1" r:id="rId1"/>
    <sheet name="重点专业字典表" sheetId="3" r:id="rId2"/>
  </sheets>
  <definedNames>
    <definedName name="_xlnm._FilterDatabase" localSheetId="0" hidden="1">重点专业采集方案!$A$1:$N$71</definedName>
    <definedName name="_xlnm._FilterDatabase" localSheetId="1" hidden="1">重点专业字典表!$B$1:$B$281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<sst xmlns="http://schemas.openxmlformats.org/spreadsheetml/2006/main" count="2151" uniqueCount="673">
  <si>
    <t>一级菜单</t>
  </si>
  <si>
    <t>二级菜单</t>
  </si>
  <si>
    <t>三级菜单</t>
  </si>
  <si>
    <t>四级菜单</t>
  </si>
  <si>
    <t>五级菜单</t>
  </si>
  <si>
    <t>指标编码</t>
  </si>
  <si>
    <t>指标名称</t>
  </si>
  <si>
    <t>单位</t>
  </si>
  <si>
    <t>是否评审指标</t>
  </si>
  <si>
    <t>分子/分母</t>
  </si>
  <si>
    <t>编码</t>
  </si>
  <si>
    <t>名称</t>
  </si>
  <si>
    <t>是否填报</t>
  </si>
  <si>
    <t>采集方案</t>
  </si>
  <si>
    <t>2022年完成值
（只需填写白色空格：分子/分母）</t>
  </si>
  <si>
    <t>2023年完成值
（只需填写白色空格：分子/分母）</t>
  </si>
  <si>
    <t>2024年完成值
（只需填写白色空格：分子/分母）</t>
  </si>
  <si>
    <t>2025年完成值
（只需填写白色空格：分子/分母）</t>
  </si>
  <si>
    <t>填报数据来源
（填写取数方式：某系统/手工/估算）</t>
  </si>
  <si>
    <t>备注</t>
  </si>
  <si>
    <t>质量安全</t>
  </si>
  <si>
    <t>医疗质量</t>
  </si>
  <si>
    <t>重点专业质控情况分析</t>
  </si>
  <si>
    <t>泌尿外科专科质控</t>
  </si>
  <si>
    <t>2023_SH_MNKW_001</t>
  </si>
  <si>
    <t>（泌尿外科）术前病情评估率</t>
  </si>
  <si>
    <t>%</t>
  </si>
  <si>
    <t>是</t>
  </si>
  <si>
    <t>分子</t>
  </si>
  <si>
    <t>2023_SH_MNKW_E001</t>
  </si>
  <si>
    <t>（泌尿外科）住院患者术前完成病情评估例数</t>
  </si>
  <si>
    <t>/</t>
  </si>
  <si>
    <t>分母</t>
  </si>
  <si>
    <t>2023_SH_MNKW_E002</t>
  </si>
  <si>
    <t>（泌尿外科）同期住院手术总例数</t>
  </si>
  <si>
    <t>否</t>
  </si>
  <si>
    <t>1、病案首页出院科别为泌尿外科
2、病案首页手术及操作编码对应手术类型为“手术”或“介入”手术例数</t>
  </si>
  <si>
    <t>2023_SH_MNKW_002</t>
  </si>
  <si>
    <t>（泌尿外科）三四级手术率</t>
  </si>
  <si>
    <t>2023_SH_MNKW_E003</t>
  </si>
  <si>
    <t>（泌尿外科）三四级手术例数</t>
  </si>
  <si>
    <t xml:space="preserve">
1、病案首页出院科别为泌尿外科
2、病案首页手术及操作编码对应手术级别为三级和四级的手术例数
</t>
  </si>
  <si>
    <t>shvms</t>
  </si>
  <si>
    <t>2023_SH_MNKW_E004</t>
  </si>
  <si>
    <t>（泌尿外科）同期手术总例数</t>
  </si>
  <si>
    <t>2023_SH_MNKW_003</t>
  </si>
  <si>
    <t>（泌尿外科）术后30天内非计划再入院率</t>
  </si>
  <si>
    <t>2023_SH_MNKW_E005</t>
  </si>
  <si>
    <t>（泌尿外科）术后30天内非计划再次入院患者例数</t>
  </si>
  <si>
    <t>2023_SH_MNKW_004</t>
  </si>
  <si>
    <t>（泌尿外科）手术开展率</t>
  </si>
  <si>
    <t>2023_SH_MNKW_E006</t>
  </si>
  <si>
    <t>（泌尿外科）科室开展手术种类数</t>
  </si>
  <si>
    <t>1、病案首页出院科别为泌尿外科
2、病案首页手术及操作编码对应手术类型为“手术”或“介入”
3、计算病案首页手术及操作编码ICD编码55-64开头的前4位编码（不含小数点）的种类数</t>
  </si>
  <si>
    <t>2023_SH_MNKW_E007</t>
  </si>
  <si>
    <t>泌尿外科相关手术种类数</t>
  </si>
  <si>
    <t>1、泌尿外科相关手术种类参考国家临床版3.0 手术操作代码
3、计算ICD编码55-64开头的前4位编码（不含小数点）的种类数为265种</t>
  </si>
  <si>
    <t>2023_SH_MNKW_005a</t>
  </si>
  <si>
    <t>开放/腹腔镜/机器人肾部分切除术平均时间</t>
  </si>
  <si>
    <t>分钟</t>
  </si>
  <si>
    <t>2023_SH_MNKW_E033</t>
  </si>
  <si>
    <t>开放/腹腔镜/机器人肾部分切除术时间总和</t>
  </si>
  <si>
    <t xml:space="preserve">
1、病案首页出院科别为泌尿外科
2、病案首页手术及操作编码为开放/腹腔镜/机器人肾部分切除术（见字典表）的病例数
3、病案首页手术持续时间总和
</t>
  </si>
  <si>
    <t>2023_SH_MNKW_E034</t>
  </si>
  <si>
    <t>开放/腹腔镜/机器人肾部分切除术总例数</t>
  </si>
  <si>
    <t>1、病案首页出院科别为泌尿外科
2、病案首页手术及操作编码为开放/腹腔镜/机器人肾部分切除术（见字典表）的病例数</t>
  </si>
  <si>
    <t>2023_SH_MNKW_005b</t>
  </si>
  <si>
    <t>根治性肾切除术平均时间</t>
  </si>
  <si>
    <t>2023_SH_MNKW_E035</t>
  </si>
  <si>
    <t>根治性肾切除术时间总和</t>
  </si>
  <si>
    <t xml:space="preserve">
1、病案首页出院科别为泌尿外科
2、病案首页手术及操作编码为根治性肾切除术（见字典表）
3、病案首页手术持续时间总和
</t>
  </si>
  <si>
    <t>2023_SH_MNKW_E036</t>
  </si>
  <si>
    <t>根治性肾切除术总例数</t>
  </si>
  <si>
    <t>1、病案首页出院科别为泌尿外科
2、病案首页手术及操作编码为根治性肾切除术（见字典表）的病例数</t>
  </si>
  <si>
    <t>2023_SH_MNKW_005c</t>
  </si>
  <si>
    <t>肾上腺全切术平均时间</t>
  </si>
  <si>
    <t>2023_SH_MNKW_E037</t>
  </si>
  <si>
    <t>肾上腺全切术时间总和</t>
  </si>
  <si>
    <t xml:space="preserve">
1、病案首页出院科别为泌尿外科
2、病案首页手术及操作编码为肾上腺全切术（见字典表）
3、病案首页手术持续时间总和
</t>
  </si>
  <si>
    <t>2023_SH_MNKW_E038</t>
  </si>
  <si>
    <t>肾上腺全切术总例数</t>
  </si>
  <si>
    <t>1、病案首页出院科别为泌尿外科
2、病案首页手术及操作编码为肾上腺全切术（见字典表）的病例数</t>
  </si>
  <si>
    <t>2023_SH_MNKW_005d</t>
  </si>
  <si>
    <t>肾上腺部分切除术平均时间</t>
  </si>
  <si>
    <t>2023_SH_MNKW_E039</t>
  </si>
  <si>
    <t>肾上腺部分切除术时间总和</t>
  </si>
  <si>
    <t xml:space="preserve">
1、病案首页出院科别为泌尿外科
2、病案首页手术及操作编码为肾上腺部分切除术（见字典表）
3、病案首页手术持续时间总和
</t>
  </si>
  <si>
    <t>2023_SH_MNKW_E040</t>
  </si>
  <si>
    <t>肾上腺部分切除术总例数</t>
  </si>
  <si>
    <t>1、病案首页出院科别为泌尿外科
2、病案首页手术及操作编码为肾上腺部分切除术（见字典表）的病例数</t>
  </si>
  <si>
    <t>2023_SH_MNKW_005f</t>
  </si>
  <si>
    <t>前列腺癌根治术平均时间</t>
  </si>
  <si>
    <t>2023_SH_MNKW_E041</t>
  </si>
  <si>
    <t>前列腺癌根治术时间总和</t>
  </si>
  <si>
    <t xml:space="preserve">
1、病案首页出院科别为泌尿外科
2、病案首页手术及操作编码为前列腺癌根治术（见字典表）
3、病案首页手术持续时间总和
分母：前列腺癌根治术总例数
</t>
  </si>
  <si>
    <t>2023_SH_MNKW_E042</t>
  </si>
  <si>
    <t>前列腺癌根治术总例数</t>
  </si>
  <si>
    <t>1、病案首页出院科别为泌尿外科
2、病案首页主要诊断 ICD-10编码：C61，C79.818，D07.5，且病案首页手术及操作编码含前列腺癌根治手术编码（见字典表）的患者数</t>
  </si>
  <si>
    <t>2023_SH_MNKW_005g</t>
  </si>
  <si>
    <t>全膀胱切除术平均时间</t>
  </si>
  <si>
    <t>2023_SH_MNKW_E043</t>
  </si>
  <si>
    <t>全膀胱切除术时间总和</t>
  </si>
  <si>
    <t xml:space="preserve">
1、病案首页出院科别为泌尿外科
2、病案首页手术及操作编码为全膀胱切除术（见字典表）
3、病案首页手术持续时间总和
</t>
  </si>
  <si>
    <t>2023_SH_MNKW_E044</t>
  </si>
  <si>
    <t>全膀胱切除术总例数</t>
  </si>
  <si>
    <t>1、病案首页出院科别为泌尿外科
2、病案首页手术及操作编码为全膀胱切除术的病例数（见字典表）</t>
  </si>
  <si>
    <t>2023_SH_MNKW_005h</t>
  </si>
  <si>
    <t>膀胱部分切除术平均时间</t>
  </si>
  <si>
    <t>2023_SH_MNKW_E045</t>
  </si>
  <si>
    <t>膀胱部分切除术时间总和</t>
  </si>
  <si>
    <t xml:space="preserve">
1、病案首页出院科别为泌尿外科
2、病案首页手术及操作编码为膀胱部分切除术（见字典表）
3、病案首页手术持续时间总和
</t>
  </si>
  <si>
    <t>2023_SH_MNKW_E046</t>
  </si>
  <si>
    <t>膀胱部分切除术总例数</t>
  </si>
  <si>
    <t>1、病案首页出院科别为泌尿外科
2、病案首页手术及操作编码为膀胱部分切除术（见字典表）的病例数</t>
  </si>
  <si>
    <t>2023_SH_MNKW_005i</t>
  </si>
  <si>
    <t>肾盂输尿管整形术平均时间</t>
  </si>
  <si>
    <t>2023_SH_MNKW_E047</t>
  </si>
  <si>
    <t>肾盂输尿管整形术时间总和</t>
  </si>
  <si>
    <t xml:space="preserve">
1、病案首页出院科别为泌尿外科
2、病案首页手术及操作编码为肾盂输尿管整形术（见字典表）
3、病案首页手术持续时间总和
</t>
  </si>
  <si>
    <t>2023_SH_MNKW_E048</t>
  </si>
  <si>
    <t>肾盂输尿管整形术总例数</t>
  </si>
  <si>
    <t>1、病案首页出院科别为泌尿外科
2、病案首页手术及操作编码为肾盂输尿管整形术（见字典表）的病例数</t>
  </si>
  <si>
    <t>2023_SH_MNKW_005j</t>
  </si>
  <si>
    <t>肾盂输尿管癌根治术平均时间</t>
  </si>
  <si>
    <t>2023_SH_MNKW_E049</t>
  </si>
  <si>
    <t>肾盂输尿管癌根治术时间总和</t>
  </si>
  <si>
    <t xml:space="preserve">
1、病案首页出院科别为泌尿外科
2、病案首页手术及操作编码为肾盂输尿管癌根治术（见字典表）
3、病案首页手术持续时间总和
</t>
  </si>
  <si>
    <t>2023_SH_MNKW_E050</t>
  </si>
  <si>
    <t>肾盂输尿管癌根治术总例数</t>
  </si>
  <si>
    <t>1、病案首页出院科别为泌尿外科
2、病案首页主要诊断肾盂输尿管癌（见字典表），且病案首页手术及操作编码为肾盂输尿管癌根治术（见字典表）的病例数</t>
  </si>
  <si>
    <t>2023_SH_MNKW_005k</t>
  </si>
  <si>
    <t>经皮肾镜碎石取石术平均时间</t>
  </si>
  <si>
    <t>2023_SH_MNKW_E051</t>
  </si>
  <si>
    <t>经皮肾镜碎石取石术时间总和</t>
  </si>
  <si>
    <t xml:space="preserve">
1、病案首页出院科别为泌尿外科
2、病案首页手术及操作编码为经皮肾镜碎石取石术（见字典表）
3、病案首页手术持续时间总和
</t>
  </si>
  <si>
    <t>2023_SH_MNKW_E052</t>
  </si>
  <si>
    <t>经皮肾镜碎石取石术总例数</t>
  </si>
  <si>
    <t>1、病案首页出院科别为泌尿外科
2、病案首页手术及操作编码为经皮肾镜碎石取石术（见字典表）的病例数</t>
  </si>
  <si>
    <t>2023_SH_MNKW_005m</t>
  </si>
  <si>
    <t>经尿道输尿管镜/软镜碎石术平均时间</t>
  </si>
  <si>
    <t>2023_SH_MNKW_E053</t>
  </si>
  <si>
    <t>经尿道输尿管镜/软镜碎石术时间总和</t>
  </si>
  <si>
    <t xml:space="preserve">
1、病案首页出院科别为泌尿外科
2、病案首页手术及操作编码为经尿道输尿管镜/软镜碎石术（见字典表）
3、病案首页手术持续时间总和
</t>
  </si>
  <si>
    <t>2023_SH_MNKW_E054</t>
  </si>
  <si>
    <t>经尿道输尿管镜/软镜碎石术总例数</t>
  </si>
  <si>
    <t>1、病案首页出院科别为泌尿外科
2、病案首页手术及操作编码为经尿道输尿管镜/软镜碎石术（见字典表）的病例数</t>
  </si>
  <si>
    <t>2023_SH_MNKW_005n</t>
  </si>
  <si>
    <t>经尿道前列腺电切术平均时间</t>
  </si>
  <si>
    <t>2023_SH_MNKW_E055</t>
  </si>
  <si>
    <t>经尿道前列腺电切术时间总和</t>
  </si>
  <si>
    <t xml:space="preserve">
1、病案首页出院科别为泌尿外科
2、病案首页手术及操作编码为经尿道前列腺电切术（见字典表）
3、病案首页手术持续时间总和
</t>
  </si>
  <si>
    <t>2023_SH_MNKW_E056</t>
  </si>
  <si>
    <t>经尿道前列腺电切术总例数</t>
  </si>
  <si>
    <t>1、病案首页出院科别为泌尿外科
2、病案首页手术及操作编码为经尿道前列腺电切术（见字典表）的病例数</t>
  </si>
  <si>
    <t>2023_SH_MNKW_005p</t>
  </si>
  <si>
    <t>经尿道膀胱肿瘤电切术平均时间</t>
  </si>
  <si>
    <t>2023_SH_MNKW_E057</t>
  </si>
  <si>
    <t>经尿道膀胱肿瘤电切术时间总和</t>
  </si>
  <si>
    <t xml:space="preserve">
1、病案首页出院科别为泌尿外科
2、病案首页手术及操作编码为经尿道膀胱肿瘤电切术（见字典表）
3、病案首页手术持续时间总和
</t>
  </si>
  <si>
    <t>2023_SH_MNKW_E058</t>
  </si>
  <si>
    <t>经尿道膀胱肿瘤电切术总例数</t>
  </si>
  <si>
    <t>1、病案首页出院科别为泌尿外科
2、病案首页手术及操作编码为经尿道膀胱肿瘤电切术（见字典表）的病例数</t>
  </si>
  <si>
    <t>2023_SH_MNKW_006</t>
  </si>
  <si>
    <t>（泌尿外科）急诊手术率</t>
  </si>
  <si>
    <t>2023_SH_MNKW_E008</t>
  </si>
  <si>
    <t>（泌尿外科）急诊手术例数</t>
  </si>
  <si>
    <t xml:space="preserve">
1、病案首页出院科别为泌尿外科
2、病案首页手术及操作编码对应手术类型为“手术”或“介入”手术例数
3、病案首页入院途径为急诊
分母：同期手术总例数
</t>
  </si>
  <si>
    <t>2023_SH_MNKW_007</t>
  </si>
  <si>
    <t>（泌尿外科）微创手术率</t>
  </si>
  <si>
    <t>2023_SH_MNKW_E009</t>
  </si>
  <si>
    <t>（泌尿外科）微创手术例数</t>
  </si>
  <si>
    <t xml:space="preserve">
1、病案首页出院科别为泌尿外科
2、病案首页手术及操作编码中包含《公立医院绩效考核微创手术目录》中手术编码的患者数
</t>
  </si>
  <si>
    <t>1、病案首页出院科别为泌尿外科
2、病案首页手术及操作编码对应手术类型为“手术”或“介入”手术例数以及《公立医院绩效考核微创手术目录》涉及的所有条目</t>
  </si>
  <si>
    <t>2023_SH_MNKW_008</t>
  </si>
  <si>
    <t>（泌尿外科）日间手术率</t>
  </si>
  <si>
    <t>2023_SH_MNKW_E010</t>
  </si>
  <si>
    <t>（泌尿外科）日间手术例数</t>
  </si>
  <si>
    <t xml:space="preserve">
1、病案首页出院科别为泌尿外科
2、病案首页手术及操作编码对应手术类型为“手术”或“介入”手术例数
3、病案首页入院途径为非急诊
4、病案首页出院时间-入院时间≤48小时
</t>
  </si>
  <si>
    <t>2023_SH_MNKW_E011</t>
  </si>
  <si>
    <t>（泌尿外科）同期择期手术总例数</t>
  </si>
  <si>
    <t>1、病案首页出院科别为泌尿外科
2、病案首页手术及操作编码对应手术类型为“手术”或“介入”手术例数
3、病案首页入院途径为非急诊</t>
  </si>
  <si>
    <t>2023_SH_MNKW_009</t>
  </si>
  <si>
    <t>（泌尿外科）平均住院日</t>
  </si>
  <si>
    <t>天</t>
  </si>
  <si>
    <t>2023_SH_MNKW_E012</t>
  </si>
  <si>
    <t>（泌尿外科）住院患者占用总床日数</t>
  </si>
  <si>
    <t xml:space="preserve">
1、病案首页出院科别为泌尿外科
2、病案首页实际住院天数的总和
</t>
  </si>
  <si>
    <t>2023_SH_MNKW_E013</t>
  </si>
  <si>
    <t>同期出院患者人次数</t>
  </si>
  <si>
    <t>病案首页出院科别为泌尿外科患者数</t>
  </si>
  <si>
    <t>2023_SH_MNKW_010</t>
  </si>
  <si>
    <t>平均住院术前准备日</t>
  </si>
  <si>
    <t>2023_SH_MNKW_E014</t>
  </si>
  <si>
    <t>手术患者自入院到手术的天数总和</t>
  </si>
  <si>
    <t xml:space="preserve">
1、病案首页出院科别为泌尿外科
2、病案首页手术及操作编码对应手术类型为“手术”或“介入”手术例数
3、病案首页主要手术操作日期减去入院日期的天数差值的总和
</t>
  </si>
  <si>
    <t>2023_SH_MNKW_011</t>
  </si>
  <si>
    <t>出入院诊断符合率</t>
  </si>
  <si>
    <t>2023_SH_MNKW_E015</t>
  </si>
  <si>
    <t>患者出院主诊断和入院主诊断相同病例数</t>
  </si>
  <si>
    <t xml:space="preserve">
1、病案首页出院科别为泌尿外科
2、病案首页出院主要诊断=入院诊断1的病例数
</t>
  </si>
  <si>
    <t>病案首页出院科别为泌尿外科</t>
  </si>
  <si>
    <t>2023_SH_MNKW_012</t>
  </si>
  <si>
    <t>术中手术方案更改率</t>
  </si>
  <si>
    <t>2023_SH_MNKW_E016</t>
  </si>
  <si>
    <t>住院患者实际手术方案和术前计划手术方案不同例数</t>
  </si>
  <si>
    <t>2023_SH_MNKW_013</t>
  </si>
  <si>
    <t>术中大出血率</t>
  </si>
  <si>
    <t>2023_SH_MNKW_E017</t>
  </si>
  <si>
    <t>术中出血量超过1000ml的手术例数</t>
  </si>
  <si>
    <t>2023_SH_MNKW_014</t>
  </si>
  <si>
    <t>住院患者术后并发症发生率</t>
  </si>
  <si>
    <t>2023_SH_MNKW_E018</t>
  </si>
  <si>
    <t>住院期间发生术后并发症例数</t>
  </si>
  <si>
    <t xml:space="preserve">
1、病案首页出院科别为泌尿外科
2、病案首页手术及操作编码对应手术类型为“手术”或“介入”手术例数
3、病案首页出院所有诊断编码中含并发症相关编码（参考国家三级公立医院绩效考核中手术患者并发症相关口径）
</t>
  </si>
  <si>
    <t>2023_SH_MNKW_015</t>
  </si>
  <si>
    <t>术后90天内死亡率</t>
  </si>
  <si>
    <t>‱</t>
  </si>
  <si>
    <t>2023_SH_MNKW_E019</t>
  </si>
  <si>
    <t>术后90天内死亡的住院手术患者人数</t>
  </si>
  <si>
    <t>2023_SH_MNKW_016</t>
  </si>
  <si>
    <t>尿路结石术后结石残留率</t>
  </si>
  <si>
    <t>2023_SH_MNKW_E020</t>
  </si>
  <si>
    <t>尿路结石术后碎片残留病例数</t>
  </si>
  <si>
    <t>2023_SH_MNKW_E021</t>
  </si>
  <si>
    <t>同期尿路结石手术总例数</t>
  </si>
  <si>
    <t>1、病案首页出院科别为泌尿外科
2、病案首页手术及操作编码含尿路结石术编码（见字典表）的患者数</t>
  </si>
  <si>
    <t>2023_SH_MNKW_017</t>
  </si>
  <si>
    <t>肾脏恶性肿瘤保肾手术率</t>
  </si>
  <si>
    <t>2023_SH_MNKW_E022</t>
  </si>
  <si>
    <t>肾脏恶性肿瘤患者接受保肾手术例数</t>
  </si>
  <si>
    <t>1、病案首页出院科别为泌尿外科
2、病案首页主要诊断编码含肾恶性肿瘤编码（见字典表）3、病案首页手术及操作编码含肾脏恶性肿瘤保肾手术相关编码（见字典表）</t>
  </si>
  <si>
    <t>2023_SH_MNKW_E023</t>
  </si>
  <si>
    <t>同期肾脏恶性肿瘤手术总例数</t>
  </si>
  <si>
    <t>1、病案首页出院科别为泌尿外科
2、病案首页主要诊断编码含肾恶性肿瘤编码（见字典表），病案首页手术及操作编码对应手术类型为“手术”或“介入”的患者数</t>
  </si>
  <si>
    <t>2023_SH_MNKW_018</t>
  </si>
  <si>
    <t>前列腺癌根治切缘阳性率</t>
  </si>
  <si>
    <t>2023_SH_MNKW_E024</t>
  </si>
  <si>
    <t>前列腺癌根治术切缘阳性的病例数</t>
  </si>
  <si>
    <t>2023_SH_MNKW_E025</t>
  </si>
  <si>
    <t>同期前列腺癌根治手术总例数</t>
  </si>
  <si>
    <t>2023_SH_MNKW_019</t>
  </si>
  <si>
    <t>膀胱癌根治术平均淋巴结清扫数</t>
  </si>
  <si>
    <t>2023_SH_MNKW_E026</t>
  </si>
  <si>
    <t>膀胱癌根治术患者淋巴结清扫总数</t>
  </si>
  <si>
    <t>2023_SH_MNKW_E027</t>
  </si>
  <si>
    <t>膀胱癌根治术总例数</t>
  </si>
  <si>
    <t>2023_SH_MNKW_020</t>
  </si>
  <si>
    <t>（泌尿外科）围手术期抗菌药物规范使用率</t>
  </si>
  <si>
    <t>2023_SH_MNKW_E028</t>
  </si>
  <si>
    <t>（泌尿外科）围手术期规范使用抗菌药物的患者例数</t>
  </si>
  <si>
    <t>2023_SH_MNKW_021a</t>
  </si>
  <si>
    <t>重点病种术后随访率（1年）</t>
  </si>
  <si>
    <t>2023_SH_MNKW_E029</t>
  </si>
  <si>
    <t>重点病种术后1年内完成随访例数</t>
  </si>
  <si>
    <t>2023_SH_MNKW_E030</t>
  </si>
  <si>
    <t>同期所有重点病种手术患者总例数</t>
  </si>
  <si>
    <t>2023_SH_MNKW_021b</t>
  </si>
  <si>
    <t>重点病种术后随访率（3年）</t>
  </si>
  <si>
    <t>2023_SH_MNKW_E031</t>
  </si>
  <si>
    <t>重点病种术后3年内完成随访例数</t>
  </si>
  <si>
    <t>2023_SH_MNKW_021c</t>
  </si>
  <si>
    <t>重点病种术后随访率（5年）</t>
  </si>
  <si>
    <t>2023_SH_MNKW_E032</t>
  </si>
  <si>
    <t>重点病种术后5年内完成随访例数</t>
  </si>
  <si>
    <t>专业</t>
  </si>
  <si>
    <t>字典名称</t>
  </si>
  <si>
    <t>编码来源</t>
  </si>
  <si>
    <t>泌尿外科</t>
  </si>
  <si>
    <t>开放/腹腔镜/机器人肾部分切除术</t>
  </si>
  <si>
    <t>手术编码</t>
  </si>
  <si>
    <t>肾病损袋形缝合术[造袋术]</t>
  </si>
  <si>
    <t>55.3900</t>
  </si>
  <si>
    <t>肾病损或组织的其他局部破坏术或切除术</t>
  </si>
  <si>
    <t>55.3900x003</t>
  </si>
  <si>
    <t>肾病损切除术</t>
  </si>
  <si>
    <t>55.3900x004</t>
  </si>
  <si>
    <t>腹腔镜下肾病损切除术</t>
  </si>
  <si>
    <t>55.4x00</t>
  </si>
  <si>
    <t>部分肾切除术</t>
  </si>
  <si>
    <t>55.4x01</t>
  </si>
  <si>
    <t>肾楔形切除术</t>
  </si>
  <si>
    <t>55.4x02</t>
  </si>
  <si>
    <t>肾盂部分切除术</t>
  </si>
  <si>
    <t>55.4x03</t>
  </si>
  <si>
    <t>腹腔镜下肾部分切除术</t>
  </si>
  <si>
    <t>55.4x04</t>
  </si>
  <si>
    <t>肾盂切除术</t>
  </si>
  <si>
    <t>55.4x05</t>
  </si>
  <si>
    <t>肾盏切除术</t>
  </si>
  <si>
    <t>55.4x06</t>
  </si>
  <si>
    <t>肾部分切除伴部分肾上腺切除术</t>
  </si>
  <si>
    <t>根治性肾切除术</t>
  </si>
  <si>
    <t>55.5101</t>
  </si>
  <si>
    <t>单侧肾切除术</t>
  </si>
  <si>
    <t>55.5103</t>
  </si>
  <si>
    <t>腹腔镜下单侧肾切除术</t>
  </si>
  <si>
    <t>55.5200</t>
  </si>
  <si>
    <t>残留肾切除术</t>
  </si>
  <si>
    <t>55.5201</t>
  </si>
  <si>
    <t>孤立肾切除术</t>
  </si>
  <si>
    <t>55.5300</t>
  </si>
  <si>
    <t>移植或排斥肾的切除</t>
  </si>
  <si>
    <t>55.5300x001</t>
  </si>
  <si>
    <t>移植肾切除术</t>
  </si>
  <si>
    <t>55.5400</t>
  </si>
  <si>
    <t>双侧肾切除术</t>
  </si>
  <si>
    <t>55.5401</t>
  </si>
  <si>
    <t>腹腔镜下双侧肾切除术</t>
  </si>
  <si>
    <t>肾上腺全切术</t>
  </si>
  <si>
    <t>07.2200</t>
  </si>
  <si>
    <t>单侧肾上腺切除术</t>
  </si>
  <si>
    <t>07.2201</t>
  </si>
  <si>
    <t>腹腔镜单侧肾上腺切除术</t>
  </si>
  <si>
    <t>07.3x00</t>
  </si>
  <si>
    <t>双侧肾上腺切除术</t>
  </si>
  <si>
    <t>07.3x01</t>
  </si>
  <si>
    <t>腹腔镜双侧肾上腺切除术</t>
  </si>
  <si>
    <t>肾上腺部分切除术</t>
  </si>
  <si>
    <t>07.29</t>
  </si>
  <si>
    <t>其他部分肾上腺切除术</t>
  </si>
  <si>
    <t>07.2900x001</t>
  </si>
  <si>
    <t>单侧肾上腺大部分切除术</t>
  </si>
  <si>
    <t>07.2900x003</t>
  </si>
  <si>
    <t>07.2901</t>
  </si>
  <si>
    <t>肾上腺大部切除术</t>
  </si>
  <si>
    <t>07.2902</t>
  </si>
  <si>
    <t>腹腔镜肾上腺部分切除术</t>
  </si>
  <si>
    <t>07.2100</t>
  </si>
  <si>
    <t>肾上腺病损切除术</t>
  </si>
  <si>
    <t>07.2102</t>
  </si>
  <si>
    <t>腹腔镜肾上腺病损切除术</t>
  </si>
  <si>
    <t>07.2900</t>
  </si>
  <si>
    <t>前列腺癌根治术</t>
  </si>
  <si>
    <t>60.5x00</t>
  </si>
  <si>
    <t>根治性前列腺切除术</t>
  </si>
  <si>
    <t>60.6900x001</t>
  </si>
  <si>
    <t>前列腺切除术</t>
  </si>
  <si>
    <t>60.6900x002</t>
  </si>
  <si>
    <t>腹腔镜下前列腺切除术</t>
  </si>
  <si>
    <t>60.5x02</t>
  </si>
  <si>
    <t>腹腔镜下前列腺根治性切除术</t>
  </si>
  <si>
    <t>增加</t>
  </si>
  <si>
    <t>60.6101</t>
  </si>
  <si>
    <t>腹腔镜下前列腺病损切除术</t>
  </si>
  <si>
    <t>全膀胱切除术</t>
  </si>
  <si>
    <t>全膀胱切除术（腹腔镜下全膀胱切除术）</t>
  </si>
  <si>
    <t>57.7100</t>
  </si>
  <si>
    <t>根治性膀胱切除术</t>
  </si>
  <si>
    <t>57.7101</t>
  </si>
  <si>
    <t>膀胱尿道全切除术</t>
  </si>
  <si>
    <t>57.7103</t>
  </si>
  <si>
    <t>腹腔镜下膀胱根治切除术</t>
  </si>
  <si>
    <t>57.7900</t>
  </si>
  <si>
    <t>其他全部膀胱切除术</t>
  </si>
  <si>
    <t>57.7900x001</t>
  </si>
  <si>
    <t>膀胱全切除术</t>
  </si>
  <si>
    <t>膀胱部分切除术</t>
  </si>
  <si>
    <t>经尿道膀胱部分切除术</t>
  </si>
  <si>
    <t>57.6x06</t>
  </si>
  <si>
    <t>腹腔镜下膀胱部分切除术</t>
  </si>
  <si>
    <t>57.5101</t>
  </si>
  <si>
    <t>膀胱脐尿管瘘切除术</t>
  </si>
  <si>
    <t>57.5900</t>
  </si>
  <si>
    <t>膀胱其他病损或组织的开放性切除术或破坏术</t>
  </si>
  <si>
    <t>57.5902</t>
  </si>
  <si>
    <t>膀胱憩室切除术</t>
  </si>
  <si>
    <t>57.5904</t>
  </si>
  <si>
    <t>膀胱病损耻骨上切除术</t>
  </si>
  <si>
    <t>57.6x00</t>
  </si>
  <si>
    <t>部分膀胱切除术</t>
  </si>
  <si>
    <t>57.6x01</t>
  </si>
  <si>
    <t>膀胱大部切除术</t>
  </si>
  <si>
    <t>57.6x02</t>
  </si>
  <si>
    <t>膀胱穹隆切除术</t>
  </si>
  <si>
    <t>57.6x03</t>
  </si>
  <si>
    <t>膀胱楔形切除术</t>
  </si>
  <si>
    <t>57.6x05</t>
  </si>
  <si>
    <t>膀胱袖状切除术</t>
  </si>
  <si>
    <t>肾盂输尿管整形术</t>
  </si>
  <si>
    <t>肾盂造口术</t>
  </si>
  <si>
    <t>肾造口术和肾盂造口闭合术</t>
  </si>
  <si>
    <t>肾盂造口闭合术</t>
  </si>
  <si>
    <t>55.8600x006</t>
  </si>
  <si>
    <t>腹腔镜下肾盏-输尿管吻合术</t>
  </si>
  <si>
    <t>移植肾输尿管膀胱吻合术</t>
  </si>
  <si>
    <t>肾盂输尿管吻合术</t>
  </si>
  <si>
    <t>肾盏输尿管吻合术</t>
  </si>
  <si>
    <t>移植肾肾盂输尿管吻合术</t>
  </si>
  <si>
    <t>肾盂输尿管膀胱吻合术</t>
  </si>
  <si>
    <t>腹腔镜下肾盂输尿管吻合术</t>
  </si>
  <si>
    <t>输尿管肾盂接合处矫正术</t>
  </si>
  <si>
    <t>肾盂成形术</t>
  </si>
  <si>
    <t>55.8702</t>
  </si>
  <si>
    <t>肾盂输尿管成形术</t>
  </si>
  <si>
    <t>腹腔镜下肾盂输尿管成形术</t>
  </si>
  <si>
    <t>腹腔镜下肾盂成形术</t>
  </si>
  <si>
    <t>56.4100x009</t>
  </si>
  <si>
    <t>腹腔镜下输尿管囊肿造口术</t>
  </si>
  <si>
    <t>建造皮肤的输尿管-回肠造口术</t>
  </si>
  <si>
    <t>回肠输尿管皮肤造口术</t>
  </si>
  <si>
    <t>皮肤的输尿管-回肠吻合的修复术</t>
  </si>
  <si>
    <t>56.5200x001</t>
  </si>
  <si>
    <t>输尿管-回肠皮肤造口修正术</t>
  </si>
  <si>
    <t>其他皮肤输尿管吻合口的建造</t>
  </si>
  <si>
    <t>56.6100x001</t>
  </si>
  <si>
    <t>输尿管-皮肤造口术</t>
  </si>
  <si>
    <t>56.6100x003</t>
  </si>
  <si>
    <t>输尿管造口术</t>
  </si>
  <si>
    <t>56.6100x004</t>
  </si>
  <si>
    <t>腹腔镜下输尿管-皮肤造口术</t>
  </si>
  <si>
    <t>其他皮肤输尿管吻合的修复术</t>
  </si>
  <si>
    <t>输尿管-腹壁造口修复术</t>
  </si>
  <si>
    <t>56.7100x002</t>
  </si>
  <si>
    <t>输尿管-乙状结肠吻合术</t>
  </si>
  <si>
    <t>56.7100x004</t>
  </si>
  <si>
    <t>腹腔镜下输尿管-乙状结肠吻合术</t>
  </si>
  <si>
    <t>输尿管-回肠吻合术</t>
  </si>
  <si>
    <t>输尿管-结肠吻合术</t>
  </si>
  <si>
    <t>输尿管-直肠吻合术</t>
  </si>
  <si>
    <t>输尿管-阑尾吻合术</t>
  </si>
  <si>
    <t>输尿管-空肠吻合术</t>
  </si>
  <si>
    <t>输尿管肠吻合术的修复术</t>
  </si>
  <si>
    <t>输尿管膀胱吻合术</t>
  </si>
  <si>
    <t>腹腔镜下输尿管膀胱吻合术</t>
  </si>
  <si>
    <t>经输尿管输尿管吻合术</t>
  </si>
  <si>
    <t>左右输尿管吻合术</t>
  </si>
  <si>
    <t>输尿管其他吻合术或搭桥</t>
  </si>
  <si>
    <t>56.8200x002</t>
  </si>
  <si>
    <t>腹腔镜下输尿管损伤修复术</t>
  </si>
  <si>
    <t>输尿管裂伤修补术</t>
  </si>
  <si>
    <t>输尿管造口闭合术</t>
  </si>
  <si>
    <t>输尿管其他瘘管闭合术</t>
  </si>
  <si>
    <t>56.8400x001</t>
  </si>
  <si>
    <t>输尿管瘘修补术</t>
  </si>
  <si>
    <t>输尿管阴道瘘修补术</t>
  </si>
  <si>
    <t>输尿管其他修补术</t>
  </si>
  <si>
    <t>输尿管成形术</t>
  </si>
  <si>
    <t>腹腔镜下输尿管成形术</t>
  </si>
  <si>
    <t>肾盂输尿管癌根治术</t>
  </si>
  <si>
    <t>肾输尿管切除术</t>
  </si>
  <si>
    <t>腹腔镜下单侧肾输尿管切除术</t>
  </si>
  <si>
    <t>腹腔镜膀胱镜下肾输尿管切除术</t>
  </si>
  <si>
    <t>输尿管切除术</t>
  </si>
  <si>
    <t>副输尿管切除术</t>
  </si>
  <si>
    <t>腹腔镜下输尿管切除术</t>
  </si>
  <si>
    <t>经皮肾镜碎石取石术</t>
  </si>
  <si>
    <t>经皮肾镜碎石术（PCNL）</t>
  </si>
  <si>
    <t>经皮肾镜超声碎石术</t>
  </si>
  <si>
    <t>经皮肾镜激光碎石术</t>
  </si>
  <si>
    <t>55.0300x002</t>
  </si>
  <si>
    <t>经皮肾镜取石术(II期)(再次住院)</t>
  </si>
  <si>
    <t>55.0300x003</t>
  </si>
  <si>
    <t>经皮肾镜取石术(I期)</t>
  </si>
  <si>
    <t>55.0300x007</t>
  </si>
  <si>
    <t>经皮肾镜取石术(II期)(同次住院)</t>
  </si>
  <si>
    <t>经皮肾镜取石术</t>
  </si>
  <si>
    <t>55.0400x005</t>
  </si>
  <si>
    <t>经皮肾镜超声碎石取石术(II期)(再次住院)</t>
  </si>
  <si>
    <t>55.0400x006</t>
  </si>
  <si>
    <t>经皮肾镜激光碎石取石术(II期)(再次住院)</t>
  </si>
  <si>
    <t>55.0400x007</t>
  </si>
  <si>
    <t>经皮肾镜气压弹道碎石取石术(II期)(再次住院)</t>
  </si>
  <si>
    <t>55.0400x008</t>
  </si>
  <si>
    <t>经皮肾镜超声碎石取石术(II期)(同次住院)</t>
  </si>
  <si>
    <t>55.0400x009</t>
  </si>
  <si>
    <t>经皮肾镜激光碎石取石术(II期)(同次住院)</t>
  </si>
  <si>
    <t>55.0400x010</t>
  </si>
  <si>
    <t>经皮肾镜气压弹道碎石取石术(II期)(同次住院)</t>
  </si>
  <si>
    <t>经皮肾镜气压弹道碎石术</t>
  </si>
  <si>
    <t>经尿道输尿管镜/软镜碎石术</t>
  </si>
  <si>
    <t>56.0x00x003</t>
  </si>
  <si>
    <t>经尿道输尿管镜输尿管取石术</t>
  </si>
  <si>
    <t>56.0x00x004</t>
  </si>
  <si>
    <t>经尿道输尿管镜肾盂取石术</t>
  </si>
  <si>
    <t>56.0x00x005</t>
  </si>
  <si>
    <t>经尿道输尿管镜输尿管激光碎石术</t>
  </si>
  <si>
    <t>56.0x00x006</t>
  </si>
  <si>
    <t>经尿道输尿管镜肾盂激光碎石术</t>
  </si>
  <si>
    <t>56.0x00x007</t>
  </si>
  <si>
    <t>经尿道输尿管镜输尿管气压弹道碎石术</t>
  </si>
  <si>
    <t>56.0x00x008</t>
  </si>
  <si>
    <t>经尿道输尿管镜肾盂气压弹道碎石术</t>
  </si>
  <si>
    <t>56.0x00x009</t>
  </si>
  <si>
    <t>经尿道输尿管镜输尿管超声碎石术</t>
  </si>
  <si>
    <t>56.0x00x010</t>
  </si>
  <si>
    <t>经尿道输尿管镜肾盂超声碎石术</t>
  </si>
  <si>
    <t>56.0x00x011</t>
  </si>
  <si>
    <t>经尿道输尿管镜输尿管激光碎石取石术</t>
  </si>
  <si>
    <t>56.0x00x012</t>
  </si>
  <si>
    <t>经尿道输尿管镜肾盂激光碎石取石术</t>
  </si>
  <si>
    <t>56.0x00x013</t>
  </si>
  <si>
    <t>经尿道输尿管镜输尿管气压弹道碎石取石术</t>
  </si>
  <si>
    <t>56.0x00x014</t>
  </si>
  <si>
    <t>经尿道输尿管镜肾盂气压弹道碎石取石术</t>
  </si>
  <si>
    <t>56.0x00x015</t>
  </si>
  <si>
    <t>经尿道输尿管镜输尿管超声碎石取石术</t>
  </si>
  <si>
    <t>56.0x00x016</t>
  </si>
  <si>
    <t>经尿道输尿管镜肾盂超声碎石取石术</t>
  </si>
  <si>
    <t>55.0402</t>
  </si>
  <si>
    <t>55.0403</t>
  </si>
  <si>
    <t>55.0404</t>
  </si>
  <si>
    <t>经尿道前列腺电切术</t>
  </si>
  <si>
    <t>60.2900x004</t>
  </si>
  <si>
    <t>经尿道前列腺等离子电切术</t>
  </si>
  <si>
    <t>经尿道前列腺气化电切术[TEVAP手术]</t>
  </si>
  <si>
    <t>60.2900x003</t>
  </si>
  <si>
    <t>经尿道前列腺绿激光汽化术(PVP)</t>
  </si>
  <si>
    <t>其他经尿道前列腺切除术</t>
  </si>
  <si>
    <t>60.2100x002</t>
  </si>
  <si>
    <t>经尿道钬激光前列腺切除术[HOLEP]</t>
  </si>
  <si>
    <t>经尿道前列腺切除术（TURP）</t>
  </si>
  <si>
    <t>60.2100x001</t>
  </si>
  <si>
    <t>经尿道前列腺激光切除术[TULIP手术]</t>
  </si>
  <si>
    <t>经尿道(超声)激光诱导前列腺切除术(TULIP)</t>
  </si>
  <si>
    <t>经尿道膀胱肿瘤电切术</t>
  </si>
  <si>
    <t>57.4900x001</t>
  </si>
  <si>
    <t>经尿道膀胱病损电切术</t>
  </si>
  <si>
    <t>经尿道膀胱颈电切术</t>
  </si>
  <si>
    <t>57.4900</t>
  </si>
  <si>
    <t>其他经尿道的膀胱病损或组织切除术或破坏术</t>
  </si>
  <si>
    <t>57.4901</t>
  </si>
  <si>
    <t>经尿道膀胱病损切除术</t>
  </si>
  <si>
    <t>57.4903</t>
  </si>
  <si>
    <t>经尿道膀胱病损激光烧灼术</t>
  </si>
  <si>
    <t>57.5900x001</t>
  </si>
  <si>
    <t>膀胱病损激光切除术</t>
  </si>
  <si>
    <t>57.5900x002</t>
  </si>
  <si>
    <t>膀胱镜下膀胱病损切除术</t>
  </si>
  <si>
    <t>57.5901</t>
  </si>
  <si>
    <t>膀胱病损切除术</t>
  </si>
  <si>
    <t>57.5903</t>
  </si>
  <si>
    <t>膀胱颈切除术</t>
  </si>
  <si>
    <t>57.5905</t>
  </si>
  <si>
    <t>膀胱内膜切除术</t>
  </si>
  <si>
    <t>57.5906</t>
  </si>
  <si>
    <t>膀胱病损电灼术</t>
  </si>
  <si>
    <t>57.6x04</t>
  </si>
  <si>
    <t>膀胱三角区切除术</t>
  </si>
  <si>
    <t>尿路结石术</t>
  </si>
  <si>
    <t>诊断编码</t>
  </si>
  <si>
    <t>57.0x00x011</t>
  </si>
  <si>
    <t>经尿道膀胱镜膀胱气压弹道碎石术</t>
  </si>
  <si>
    <t>57.0x00x012</t>
  </si>
  <si>
    <t>经尿道膀胱镜膀胱激光碎石取石术</t>
  </si>
  <si>
    <t>57.0x00x009</t>
  </si>
  <si>
    <t>经尿道膀胱镜膀胱气压弹道碎石取石术</t>
  </si>
  <si>
    <t>57.0x00x010</t>
  </si>
  <si>
    <t>经尿道膀胱镜膀胱超声碎石术</t>
  </si>
  <si>
    <t>56.0x05</t>
  </si>
  <si>
    <t>经尿道输尿管/肾盂超声碎石术</t>
  </si>
  <si>
    <t>57.0x00x013</t>
  </si>
  <si>
    <t>经尿道膀胱镜膀胱碎石钳碎石取石术</t>
  </si>
  <si>
    <t>肾盂体外冲击波碎石术</t>
  </si>
  <si>
    <t>56.0x06</t>
  </si>
  <si>
    <t>经尿道输尿管/肾盂激光碎石取石术</t>
  </si>
  <si>
    <t>尿道超声碎石术</t>
  </si>
  <si>
    <t>肾体外冲击波碎石术</t>
  </si>
  <si>
    <t>膀胱体外冲击波碎石术</t>
  </si>
  <si>
    <t>57.0x07</t>
  </si>
  <si>
    <t>经尿道膀胱气压弹道碎石术</t>
  </si>
  <si>
    <t>57.0x05</t>
  </si>
  <si>
    <t>经尿道膀胱超声碎石术</t>
  </si>
  <si>
    <t>肾、输尿管和（或）膀胱体外休克波碎石[ESWL]</t>
  </si>
  <si>
    <t>60.7200x002</t>
  </si>
  <si>
    <t>经尿道精囊镜精囊碎石取石术</t>
  </si>
  <si>
    <t>56.0x07</t>
  </si>
  <si>
    <t>经尿道输尿管/肾盂气压弹道碎石取石术</t>
  </si>
  <si>
    <t>57.0x06</t>
  </si>
  <si>
    <t>经尿道膀胱激光碎石术</t>
  </si>
  <si>
    <t>肾超声碎石术</t>
  </si>
  <si>
    <t>输尿管体外冲击波碎石术</t>
  </si>
  <si>
    <t>56.0x08</t>
  </si>
  <si>
    <t>经尿道输尿管/肾盂超声碎石取石术</t>
  </si>
  <si>
    <t>56.0x03</t>
  </si>
  <si>
    <t>经尿道输尿管/肾盂激光碎石术</t>
  </si>
  <si>
    <t>57.1700x002</t>
  </si>
  <si>
    <t>经皮膀胱造口钬激光碎石取石术</t>
  </si>
  <si>
    <t>56.0x04</t>
  </si>
  <si>
    <t>经尿道输尿管/肾盂气压弹道碎石术</t>
  </si>
  <si>
    <t>57.0x08</t>
  </si>
  <si>
    <t>经尿道膀胱碎石钳碎石取石术</t>
  </si>
  <si>
    <t>57.0x00x002</t>
  </si>
  <si>
    <t>经尿道膀胱镜膀胱碎石钳碎石术</t>
  </si>
  <si>
    <t>57.0x00x007</t>
  </si>
  <si>
    <t>经尿道膀胱镜膀胱激光碎石术</t>
  </si>
  <si>
    <t>57.0x00x008</t>
  </si>
  <si>
    <t>经尿道膀胱镜膀胱超声碎石取石术</t>
  </si>
  <si>
    <t>经肾造口碎石术</t>
  </si>
  <si>
    <t>腹腔镜下肾切开取石术</t>
  </si>
  <si>
    <t>肾盂切开取石术</t>
  </si>
  <si>
    <t>腹腔镜下肾盂切开取石术</t>
  </si>
  <si>
    <t>56.2x01</t>
  </si>
  <si>
    <t>输尿管切开取石术</t>
  </si>
  <si>
    <t>56.2x04</t>
  </si>
  <si>
    <t>腹腔镜下输尿管切开取石术</t>
  </si>
  <si>
    <t>膀胱切开取石术</t>
  </si>
  <si>
    <t>58.0x01</t>
  </si>
  <si>
    <t>尿道切开取石术</t>
  </si>
  <si>
    <t>膀胱癌根治术</t>
  </si>
  <si>
    <t>肾脏恶性肿瘤</t>
  </si>
  <si>
    <t>C64.x00</t>
  </si>
  <si>
    <t>肾(除外肾盂)恶性肿瘤</t>
  </si>
  <si>
    <t>C64.x00x001</t>
  </si>
  <si>
    <t>肾恶性肿瘤</t>
  </si>
  <si>
    <t>C64.x00x003</t>
  </si>
  <si>
    <t>双侧肾恶性肿瘤</t>
  </si>
  <si>
    <t>C64.x00x004</t>
  </si>
  <si>
    <t>肾多处恶性肿瘤</t>
  </si>
  <si>
    <t>C65.x00</t>
  </si>
  <si>
    <t>肾盂恶性肿瘤</t>
  </si>
  <si>
    <t>C65.x01</t>
  </si>
  <si>
    <t>肾盂输尿管连接处恶性肿瘤</t>
  </si>
  <si>
    <t>C65.x02</t>
  </si>
  <si>
    <t>肾盏恶性肿瘤</t>
  </si>
  <si>
    <t>C79.000x001</t>
  </si>
  <si>
    <t>肾继发恶性肿瘤</t>
  </si>
  <si>
    <t>C79.001</t>
  </si>
  <si>
    <t>肾盂继发恶性肿瘤</t>
  </si>
  <si>
    <t>肾盂输尿管癌</t>
  </si>
  <si>
    <t>C66.x00</t>
  </si>
  <si>
    <t>输尿管恶性肿瘤</t>
  </si>
  <si>
    <t>C66.x00x002</t>
  </si>
  <si>
    <t>双侧输尿管恶性肿瘤</t>
  </si>
  <si>
    <t>C66.x00x003</t>
  </si>
  <si>
    <t>输尿管多处恶性肿瘤</t>
  </si>
  <si>
    <t>C67.600</t>
  </si>
  <si>
    <t>输尿管口恶性肿瘤</t>
  </si>
  <si>
    <t>C68.800</t>
  </si>
  <si>
    <t>泌尿器官交搭跨越恶性肿瘤的损害</t>
  </si>
  <si>
    <t>C68.801</t>
  </si>
  <si>
    <t>肾输尿管恶性肿瘤</t>
  </si>
  <si>
    <t>C68.802</t>
  </si>
  <si>
    <t>肾盂膀胱恶性肿瘤</t>
  </si>
  <si>
    <t>C68.804</t>
  </si>
  <si>
    <t>输尿管膀胱恶性肿瘤</t>
  </si>
  <si>
    <t>C68.805</t>
  </si>
  <si>
    <t>肾盂输尿管恶性肿瘤</t>
  </si>
  <si>
    <t>C79.102</t>
  </si>
  <si>
    <t>输尿管继发恶性肿瘤</t>
  </si>
  <si>
    <t>膀胱癌</t>
  </si>
  <si>
    <t>C67.000</t>
  </si>
  <si>
    <t>膀胱三角区恶性肿瘤</t>
  </si>
  <si>
    <t>C67.100</t>
  </si>
  <si>
    <t>膀胱顶恶性肿瘤</t>
  </si>
  <si>
    <t>C67.200</t>
  </si>
  <si>
    <t>膀胱侧壁恶性肿瘤</t>
  </si>
  <si>
    <t>C67.300</t>
  </si>
  <si>
    <t>膀胱前壁恶性肿瘤</t>
  </si>
  <si>
    <t>C67.400</t>
  </si>
  <si>
    <t>膀胱后壁恶性肿瘤</t>
  </si>
  <si>
    <t>C67.500</t>
  </si>
  <si>
    <t>膀胱颈恶性肿瘤</t>
  </si>
  <si>
    <t>C67.501</t>
  </si>
  <si>
    <t>尿道内口恶性肿瘤</t>
  </si>
  <si>
    <t>C67.700</t>
  </si>
  <si>
    <t>脐尿管恶性肿瘤</t>
  </si>
  <si>
    <t>C67.800</t>
  </si>
  <si>
    <t>膀胱交搭跨越恶性肿瘤的损害</t>
  </si>
  <si>
    <t>C67.900</t>
  </si>
  <si>
    <t>膀胱恶性肿瘤</t>
  </si>
  <si>
    <t>C67.900x002</t>
  </si>
  <si>
    <t>膀胱多处恶性肿瘤</t>
  </si>
  <si>
    <t>C68.800x003</t>
  </si>
  <si>
    <t>膀胱和尿道及前列腺恶性肿瘤</t>
  </si>
  <si>
    <t>C68.803</t>
  </si>
  <si>
    <t>膀胱尿道恶性肿瘤</t>
  </si>
  <si>
    <t>C76.301</t>
  </si>
  <si>
    <t>膀胱直肠隔恶性肿瘤</t>
  </si>
  <si>
    <t>C79.100</t>
  </si>
  <si>
    <t>膀胱和其他及泌尿器官继发性恶性肿瘤膀胱继发恶性肿瘤</t>
  </si>
  <si>
    <t>C79.101</t>
  </si>
  <si>
    <t>膀胱继发恶性肿瘤</t>
  </si>
  <si>
    <t>肾脏恶性肿瘤保肾手术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</si>
</sst>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1"/>
      <name val="SimSun"/>
      <charset val="134"/>
    </font>
    <font>
      <sz val="1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vertical="center" wrapText="1"/>
    </xf>
    <xf numFmtId="49" fontId="4" fillId="0" borderId="2" xfId="0" applyNumberFormat="1" applyFont="1" applyFill="1" applyBorder="1" applyAlignment="1">
      <alignment horizontal="left"/>
    </xf>
    <xf numFmtId="49" fontId="4" fillId="0" borderId="3" xfId="0" applyNumberFormat="1" applyFont="1" applyFill="1" applyBorder="1" applyAlignment="1">
      <alignment horizontal="left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10" fontId="0" fillId="2" borderId="1" xfId="3" applyNumberFormat="1" applyFill="1" applyBorder="1" applyAlignment="1">
      <alignment horizontal="center" vertical="center"/>
    </xf>
    <xf numFmtId="176" fontId="0" fillId="2" borderId="1" xfId="3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1"/>
  <sheetViews>
    <sheetView tabSelected="1" zoomScale="80" zoomScaleNormal="80" topLeftCell="L1" workbookViewId="0">
      <selection activeCell="W53" sqref="W53"/>
    </sheetView>
  </sheetViews>
  <sheetFormatPr defaultColWidth="9" defaultRowHeight="16.8"/>
  <cols>
    <col min="1" max="5" width="22.625" style="1" hidden="1" customWidth="1"/>
    <col min="6" max="6" width="22.625" style="1" customWidth="1"/>
    <col min="7" max="7" width="35.6826923076923" style="1" customWidth="1"/>
    <col min="8" max="8" width="5.50961538461539" style="1" customWidth="1"/>
    <col min="9" max="10" width="13.875" style="1" customWidth="1"/>
    <col min="11" max="11" width="19.5192307692308" style="1" customWidth="1"/>
    <col min="12" max="12" width="43.625" style="1" customWidth="1"/>
    <col min="13" max="13" width="16.5865384615385" style="1" customWidth="1"/>
    <col min="14" max="14" width="38.0384615384615" style="1" customWidth="1"/>
    <col min="15" max="15" width="9" style="1"/>
    <col min="16" max="16" width="11.7692307692308" style="1"/>
    <col min="17" max="17" width="9" style="1"/>
    <col min="18" max="18" width="15.2307692307692" style="1"/>
    <col min="19" max="22" width="9" style="1"/>
    <col min="23" max="23" width="42.6634615384615" style="1" customWidth="1"/>
    <col min="24" max="16384" width="9" style="1"/>
  </cols>
  <sheetData>
    <row r="1" ht="34" spans="1:2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7" t="s">
        <v>13</v>
      </c>
      <c r="O1" s="18" t="s">
        <v>14</v>
      </c>
      <c r="P1" s="18"/>
      <c r="Q1" s="18" t="s">
        <v>15</v>
      </c>
      <c r="R1" s="18"/>
      <c r="S1" s="18" t="s">
        <v>16</v>
      </c>
      <c r="T1" s="18"/>
      <c r="U1" s="18" t="s">
        <v>17</v>
      </c>
      <c r="V1" s="18"/>
      <c r="W1" s="23" t="s">
        <v>18</v>
      </c>
      <c r="X1" s="24" t="s">
        <v>19</v>
      </c>
    </row>
    <row r="2" ht="17" spans="1:24">
      <c r="A2" s="15" t="s">
        <v>20</v>
      </c>
      <c r="B2" s="15" t="s">
        <v>21</v>
      </c>
      <c r="C2" s="15" t="s">
        <v>22</v>
      </c>
      <c r="D2" s="15" t="s">
        <v>23</v>
      </c>
      <c r="E2" s="15"/>
      <c r="F2" s="15" t="s">
        <v>24</v>
      </c>
      <c r="G2" s="15" t="s">
        <v>25</v>
      </c>
      <c r="H2" s="15" t="s">
        <v>26</v>
      </c>
      <c r="I2" s="15" t="s">
        <v>27</v>
      </c>
      <c r="J2" s="15" t="s">
        <v>28</v>
      </c>
      <c r="K2" s="15" t="s">
        <v>29</v>
      </c>
      <c r="L2" s="15" t="s">
        <v>30</v>
      </c>
      <c r="M2" s="15" t="s">
        <v>27</v>
      </c>
      <c r="N2" s="19" t="s">
        <v>31</v>
      </c>
      <c r="O2" s="20"/>
      <c r="P2" s="21" t="str">
        <f t="shared" ref="P2:T2" si="0">IFERROR(O2/O3,"")</f>
        <v/>
      </c>
      <c r="Q2" s="20"/>
      <c r="R2" s="21" t="str">
        <f t="shared" si="0"/>
        <v/>
      </c>
      <c r="S2" s="20"/>
      <c r="T2" s="21" t="str">
        <f t="shared" si="0"/>
        <v/>
      </c>
      <c r="U2" s="20"/>
      <c r="V2" s="21" t="str">
        <f t="shared" ref="V2:V6" si="1">IFERROR(U2/U3,"")</f>
        <v/>
      </c>
      <c r="W2" s="20"/>
      <c r="X2" s="20"/>
    </row>
    <row r="3" ht="51" spans="1:24">
      <c r="A3" s="15" t="s">
        <v>20</v>
      </c>
      <c r="B3" s="15" t="s">
        <v>21</v>
      </c>
      <c r="C3" s="15" t="s">
        <v>22</v>
      </c>
      <c r="D3" s="15" t="s">
        <v>23</v>
      </c>
      <c r="E3" s="15"/>
      <c r="F3" s="15"/>
      <c r="G3" s="15"/>
      <c r="H3" s="15"/>
      <c r="I3" s="15"/>
      <c r="J3" s="15" t="s">
        <v>32</v>
      </c>
      <c r="K3" s="15" t="s">
        <v>33</v>
      </c>
      <c r="L3" s="15" t="s">
        <v>34</v>
      </c>
      <c r="M3" s="15" t="s">
        <v>35</v>
      </c>
      <c r="N3" s="19" t="s">
        <v>36</v>
      </c>
      <c r="O3" s="20"/>
      <c r="P3" s="21"/>
      <c r="Q3" s="20"/>
      <c r="R3" s="21"/>
      <c r="S3" s="20"/>
      <c r="T3" s="21"/>
      <c r="U3" s="20"/>
      <c r="V3" s="21"/>
      <c r="W3" s="20"/>
      <c r="X3" s="20"/>
    </row>
    <row r="4" ht="84" spans="1:24">
      <c r="A4" s="15" t="s">
        <v>20</v>
      </c>
      <c r="B4" s="15" t="s">
        <v>21</v>
      </c>
      <c r="C4" s="15" t="s">
        <v>22</v>
      </c>
      <c r="D4" s="15" t="s">
        <v>23</v>
      </c>
      <c r="E4" s="15"/>
      <c r="F4" s="15" t="s">
        <v>37</v>
      </c>
      <c r="G4" s="15" t="s">
        <v>38</v>
      </c>
      <c r="H4" s="15" t="s">
        <v>26</v>
      </c>
      <c r="I4" s="15" t="s">
        <v>27</v>
      </c>
      <c r="J4" s="15" t="s">
        <v>28</v>
      </c>
      <c r="K4" s="15" t="s">
        <v>39</v>
      </c>
      <c r="L4" s="15" t="s">
        <v>40</v>
      </c>
      <c r="M4" s="15" t="s">
        <v>35</v>
      </c>
      <c r="N4" s="19" t="s">
        <v>41</v>
      </c>
      <c r="O4" s="20">
        <v>51</v>
      </c>
      <c r="P4" s="21">
        <f t="shared" ref="P4:T4" si="2">IFERROR(O4/O5,"")</f>
        <v>0.645569620253165</v>
      </c>
      <c r="Q4" s="20">
        <v>48</v>
      </c>
      <c r="R4" s="21">
        <f t="shared" si="2"/>
        <v>0.551724137931034</v>
      </c>
      <c r="S4" s="20">
        <v>104</v>
      </c>
      <c r="T4" s="21">
        <f t="shared" si="2"/>
        <v>0.737588652482269</v>
      </c>
      <c r="U4" s="20"/>
      <c r="V4" s="21" t="str">
        <f t="shared" si="1"/>
        <v/>
      </c>
      <c r="W4" s="20" t="s">
        <v>42</v>
      </c>
      <c r="X4" s="20"/>
    </row>
    <row r="5" ht="51" spans="1:24">
      <c r="A5" s="15" t="s">
        <v>20</v>
      </c>
      <c r="B5" s="15" t="s">
        <v>21</v>
      </c>
      <c r="C5" s="15" t="s">
        <v>22</v>
      </c>
      <c r="D5" s="15" t="s">
        <v>23</v>
      </c>
      <c r="E5" s="15"/>
      <c r="F5" s="15"/>
      <c r="G5" s="15"/>
      <c r="H5" s="15"/>
      <c r="I5" s="15"/>
      <c r="J5" s="15" t="s">
        <v>32</v>
      </c>
      <c r="K5" s="15" t="s">
        <v>43</v>
      </c>
      <c r="L5" s="15" t="s">
        <v>44</v>
      </c>
      <c r="M5" s="15" t="s">
        <v>35</v>
      </c>
      <c r="N5" s="19" t="s">
        <v>36</v>
      </c>
      <c r="O5" s="20">
        <v>79</v>
      </c>
      <c r="P5" s="21"/>
      <c r="Q5" s="20">
        <v>87</v>
      </c>
      <c r="R5" s="21"/>
      <c r="S5" s="20">
        <v>141</v>
      </c>
      <c r="T5" s="21"/>
      <c r="U5" s="20"/>
      <c r="V5" s="21"/>
      <c r="W5" s="20" t="s">
        <v>42</v>
      </c>
      <c r="X5" s="20"/>
    </row>
    <row r="6" ht="17" spans="1:24">
      <c r="A6" s="15" t="s">
        <v>20</v>
      </c>
      <c r="B6" s="15" t="s">
        <v>21</v>
      </c>
      <c r="C6" s="15" t="s">
        <v>22</v>
      </c>
      <c r="D6" s="15" t="s">
        <v>23</v>
      </c>
      <c r="E6" s="15"/>
      <c r="F6" s="15" t="s">
        <v>45</v>
      </c>
      <c r="G6" s="15" t="s">
        <v>46</v>
      </c>
      <c r="H6" s="15" t="s">
        <v>26</v>
      </c>
      <c r="I6" s="15" t="s">
        <v>27</v>
      </c>
      <c r="J6" s="15" t="s">
        <v>28</v>
      </c>
      <c r="K6" s="15" t="s">
        <v>47</v>
      </c>
      <c r="L6" s="15" t="s">
        <v>48</v>
      </c>
      <c r="M6" s="15" t="s">
        <v>27</v>
      </c>
      <c r="N6" s="19" t="s">
        <v>31</v>
      </c>
      <c r="O6" s="20"/>
      <c r="P6" s="21" t="str">
        <f t="shared" ref="P6:T6" si="3">IFERROR(O6/O7,"")</f>
        <v/>
      </c>
      <c r="Q6" s="20"/>
      <c r="R6" s="21" t="str">
        <f t="shared" si="3"/>
        <v/>
      </c>
      <c r="S6" s="20"/>
      <c r="T6" s="21" t="str">
        <f t="shared" si="3"/>
        <v/>
      </c>
      <c r="U6" s="20"/>
      <c r="V6" s="21" t="str">
        <f t="shared" si="1"/>
        <v/>
      </c>
      <c r="W6" s="20"/>
      <c r="X6" s="20"/>
    </row>
    <row r="7" ht="51" spans="1:24">
      <c r="A7" s="15" t="s">
        <v>20</v>
      </c>
      <c r="B7" s="15" t="s">
        <v>21</v>
      </c>
      <c r="C7" s="15" t="s">
        <v>22</v>
      </c>
      <c r="D7" s="15" t="s">
        <v>23</v>
      </c>
      <c r="E7" s="15"/>
      <c r="F7" s="15"/>
      <c r="G7" s="15"/>
      <c r="H7" s="15"/>
      <c r="I7" s="15"/>
      <c r="J7" s="15" t="s">
        <v>32</v>
      </c>
      <c r="K7" s="15" t="s">
        <v>33</v>
      </c>
      <c r="L7" s="15" t="s">
        <v>34</v>
      </c>
      <c r="M7" s="15" t="s">
        <v>35</v>
      </c>
      <c r="N7" s="19" t="s">
        <v>36</v>
      </c>
      <c r="O7" s="20"/>
      <c r="P7" s="21"/>
      <c r="Q7" s="20"/>
      <c r="R7" s="21"/>
      <c r="S7" s="20"/>
      <c r="T7" s="21"/>
      <c r="U7" s="20"/>
      <c r="V7" s="21"/>
      <c r="W7" s="20"/>
      <c r="X7" s="20"/>
    </row>
    <row r="8" ht="101" spans="1:24">
      <c r="A8" s="15" t="s">
        <v>20</v>
      </c>
      <c r="B8" s="15" t="s">
        <v>21</v>
      </c>
      <c r="C8" s="15" t="s">
        <v>22</v>
      </c>
      <c r="D8" s="15" t="s">
        <v>23</v>
      </c>
      <c r="E8" s="15"/>
      <c r="F8" s="15" t="s">
        <v>49</v>
      </c>
      <c r="G8" s="15" t="s">
        <v>50</v>
      </c>
      <c r="H8" s="15" t="s">
        <v>26</v>
      </c>
      <c r="I8" s="15" t="s">
        <v>27</v>
      </c>
      <c r="J8" s="15" t="s">
        <v>28</v>
      </c>
      <c r="K8" s="15" t="s">
        <v>51</v>
      </c>
      <c r="L8" s="15" t="s">
        <v>52</v>
      </c>
      <c r="M8" s="15" t="s">
        <v>35</v>
      </c>
      <c r="N8" s="19" t="s">
        <v>53</v>
      </c>
      <c r="O8" s="20">
        <v>17</v>
      </c>
      <c r="P8" s="21">
        <f t="shared" ref="P8:T8" si="4">IFERROR(O8/O9,"")</f>
        <v>0.0641509433962264</v>
      </c>
      <c r="Q8" s="20">
        <v>20</v>
      </c>
      <c r="R8" s="21">
        <f t="shared" si="4"/>
        <v>0.0754716981132075</v>
      </c>
      <c r="S8" s="20">
        <v>20</v>
      </c>
      <c r="T8" s="21">
        <f t="shared" si="4"/>
        <v>0.0754716981132075</v>
      </c>
      <c r="U8" s="20"/>
      <c r="V8" s="21" t="str">
        <f t="shared" ref="V8:V12" si="5">IFERROR(U8/U9,"")</f>
        <v/>
      </c>
      <c r="W8" s="20" t="s">
        <v>42</v>
      </c>
      <c r="X8" s="20"/>
    </row>
    <row r="9" ht="68" spans="1:24">
      <c r="A9" s="15" t="s">
        <v>20</v>
      </c>
      <c r="B9" s="15" t="s">
        <v>21</v>
      </c>
      <c r="C9" s="15" t="s">
        <v>22</v>
      </c>
      <c r="D9" s="15" t="s">
        <v>23</v>
      </c>
      <c r="E9" s="15"/>
      <c r="F9" s="15"/>
      <c r="G9" s="15"/>
      <c r="H9" s="15"/>
      <c r="I9" s="15"/>
      <c r="J9" s="15" t="s">
        <v>32</v>
      </c>
      <c r="K9" s="15" t="s">
        <v>54</v>
      </c>
      <c r="L9" s="15" t="s">
        <v>55</v>
      </c>
      <c r="M9" s="15" t="s">
        <v>35</v>
      </c>
      <c r="N9" s="19" t="s">
        <v>56</v>
      </c>
      <c r="O9" s="20">
        <v>265</v>
      </c>
      <c r="P9" s="21"/>
      <c r="Q9" s="20">
        <v>265</v>
      </c>
      <c r="R9" s="21"/>
      <c r="S9" s="20">
        <v>265</v>
      </c>
      <c r="T9" s="21"/>
      <c r="U9" s="20"/>
      <c r="V9" s="21"/>
      <c r="W9" s="20" t="s">
        <v>42</v>
      </c>
      <c r="X9" s="20"/>
    </row>
    <row r="10" ht="135" spans="1:24">
      <c r="A10" s="15" t="s">
        <v>20</v>
      </c>
      <c r="B10" s="15" t="s">
        <v>21</v>
      </c>
      <c r="C10" s="15" t="s">
        <v>22</v>
      </c>
      <c r="D10" s="15" t="s">
        <v>23</v>
      </c>
      <c r="E10" s="15"/>
      <c r="F10" s="15" t="s">
        <v>57</v>
      </c>
      <c r="G10" s="15" t="s">
        <v>58</v>
      </c>
      <c r="H10" s="15" t="s">
        <v>59</v>
      </c>
      <c r="I10" s="15" t="s">
        <v>27</v>
      </c>
      <c r="J10" s="15" t="s">
        <v>28</v>
      </c>
      <c r="K10" s="15" t="s">
        <v>60</v>
      </c>
      <c r="L10" s="15" t="s">
        <v>61</v>
      </c>
      <c r="M10" s="15" t="s">
        <v>35</v>
      </c>
      <c r="N10" s="19" t="s">
        <v>62</v>
      </c>
      <c r="O10" s="20"/>
      <c r="P10" s="21" t="str">
        <f t="shared" ref="P10:T10" si="6">IFERROR(O10/O11,"")</f>
        <v/>
      </c>
      <c r="Q10" s="20"/>
      <c r="R10" s="21" t="str">
        <f t="shared" si="6"/>
        <v/>
      </c>
      <c r="S10" s="20"/>
      <c r="T10" s="21" t="str">
        <f t="shared" si="6"/>
        <v/>
      </c>
      <c r="U10" s="20"/>
      <c r="V10" s="21" t="str">
        <f t="shared" si="5"/>
        <v/>
      </c>
      <c r="W10" s="20"/>
      <c r="X10" s="20"/>
    </row>
    <row r="11" ht="68" spans="1:24">
      <c r="A11" s="15" t="s">
        <v>20</v>
      </c>
      <c r="B11" s="15" t="s">
        <v>21</v>
      </c>
      <c r="C11" s="15" t="s">
        <v>22</v>
      </c>
      <c r="D11" s="15" t="s">
        <v>23</v>
      </c>
      <c r="E11" s="15"/>
      <c r="F11" s="15"/>
      <c r="G11" s="15"/>
      <c r="H11" s="15"/>
      <c r="I11" s="15"/>
      <c r="J11" s="15" t="s">
        <v>32</v>
      </c>
      <c r="K11" s="15" t="s">
        <v>63</v>
      </c>
      <c r="L11" s="15" t="s">
        <v>64</v>
      </c>
      <c r="M11" s="15" t="s">
        <v>35</v>
      </c>
      <c r="N11" s="19" t="s">
        <v>65</v>
      </c>
      <c r="O11" s="20"/>
      <c r="P11" s="21"/>
      <c r="Q11" s="20"/>
      <c r="R11" s="21"/>
      <c r="S11" s="20"/>
      <c r="T11" s="21"/>
      <c r="U11" s="20"/>
      <c r="V11" s="21"/>
      <c r="W11" s="20"/>
      <c r="X11" s="20"/>
    </row>
    <row r="12" ht="101" spans="1:24">
      <c r="A12" s="15" t="s">
        <v>20</v>
      </c>
      <c r="B12" s="15" t="s">
        <v>21</v>
      </c>
      <c r="C12" s="15" t="s">
        <v>22</v>
      </c>
      <c r="D12" s="15" t="s">
        <v>23</v>
      </c>
      <c r="E12" s="15"/>
      <c r="F12" s="15" t="s">
        <v>66</v>
      </c>
      <c r="G12" s="15" t="s">
        <v>67</v>
      </c>
      <c r="H12" s="15" t="s">
        <v>59</v>
      </c>
      <c r="I12" s="15" t="s">
        <v>27</v>
      </c>
      <c r="J12" s="15" t="s">
        <v>28</v>
      </c>
      <c r="K12" s="15" t="s">
        <v>68</v>
      </c>
      <c r="L12" s="15" t="s">
        <v>69</v>
      </c>
      <c r="M12" s="15" t="s">
        <v>35</v>
      </c>
      <c r="N12" s="19" t="s">
        <v>70</v>
      </c>
      <c r="O12" s="20"/>
      <c r="P12" s="21" t="str">
        <f t="shared" ref="P12:T12" si="7">IFERROR(O12/O13,"")</f>
        <v/>
      </c>
      <c r="Q12" s="20"/>
      <c r="R12" s="21" t="str">
        <f t="shared" si="7"/>
        <v/>
      </c>
      <c r="S12" s="20"/>
      <c r="T12" s="21" t="str">
        <f t="shared" si="7"/>
        <v/>
      </c>
      <c r="U12" s="20"/>
      <c r="V12" s="21" t="str">
        <f t="shared" si="5"/>
        <v/>
      </c>
      <c r="W12" s="20"/>
      <c r="X12" s="20"/>
    </row>
    <row r="13" ht="51" spans="1:24">
      <c r="A13" s="15" t="s">
        <v>20</v>
      </c>
      <c r="B13" s="15" t="s">
        <v>21</v>
      </c>
      <c r="C13" s="15" t="s">
        <v>22</v>
      </c>
      <c r="D13" s="15" t="s">
        <v>23</v>
      </c>
      <c r="E13" s="15"/>
      <c r="F13" s="15"/>
      <c r="G13" s="15"/>
      <c r="H13" s="15"/>
      <c r="I13" s="15"/>
      <c r="J13" s="15" t="s">
        <v>32</v>
      </c>
      <c r="K13" s="15" t="s">
        <v>71</v>
      </c>
      <c r="L13" s="15" t="s">
        <v>72</v>
      </c>
      <c r="M13" s="15" t="s">
        <v>35</v>
      </c>
      <c r="N13" s="19" t="s">
        <v>73</v>
      </c>
      <c r="O13" s="20"/>
      <c r="P13" s="21"/>
      <c r="Q13" s="20"/>
      <c r="R13" s="21"/>
      <c r="S13" s="20"/>
      <c r="T13" s="21"/>
      <c r="U13" s="20"/>
      <c r="V13" s="21"/>
      <c r="W13" s="20"/>
      <c r="X13" s="20"/>
    </row>
    <row r="14" ht="118" spans="1:24">
      <c r="A14" s="15" t="s">
        <v>20</v>
      </c>
      <c r="B14" s="15" t="s">
        <v>21</v>
      </c>
      <c r="C14" s="15" t="s">
        <v>22</v>
      </c>
      <c r="D14" s="15" t="s">
        <v>23</v>
      </c>
      <c r="E14" s="15"/>
      <c r="F14" s="15" t="s">
        <v>74</v>
      </c>
      <c r="G14" s="15" t="s">
        <v>75</v>
      </c>
      <c r="H14" s="15" t="s">
        <v>59</v>
      </c>
      <c r="I14" s="15" t="s">
        <v>27</v>
      </c>
      <c r="J14" s="15" t="s">
        <v>28</v>
      </c>
      <c r="K14" s="15" t="s">
        <v>76</v>
      </c>
      <c r="L14" s="15" t="s">
        <v>77</v>
      </c>
      <c r="M14" s="15" t="s">
        <v>35</v>
      </c>
      <c r="N14" s="19" t="s">
        <v>78</v>
      </c>
      <c r="O14" s="20"/>
      <c r="P14" s="21" t="str">
        <f t="shared" ref="P14:T14" si="8">IFERROR(O14/O15,"")</f>
        <v/>
      </c>
      <c r="Q14" s="20"/>
      <c r="R14" s="21" t="str">
        <f t="shared" si="8"/>
        <v/>
      </c>
      <c r="S14" s="20"/>
      <c r="T14" s="21" t="str">
        <f t="shared" si="8"/>
        <v/>
      </c>
      <c r="U14" s="20"/>
      <c r="V14" s="21" t="str">
        <f t="shared" ref="V14:V18" si="9">IFERROR(U14/U15,"")</f>
        <v/>
      </c>
      <c r="W14" s="20"/>
      <c r="X14" s="20"/>
    </row>
    <row r="15" ht="51" spans="1:24">
      <c r="A15" s="15" t="s">
        <v>20</v>
      </c>
      <c r="B15" s="15" t="s">
        <v>21</v>
      </c>
      <c r="C15" s="15" t="s">
        <v>22</v>
      </c>
      <c r="D15" s="15" t="s">
        <v>23</v>
      </c>
      <c r="E15" s="15"/>
      <c r="F15" s="15"/>
      <c r="G15" s="15"/>
      <c r="H15" s="15"/>
      <c r="I15" s="15"/>
      <c r="J15" s="15" t="s">
        <v>32</v>
      </c>
      <c r="K15" s="15" t="s">
        <v>79</v>
      </c>
      <c r="L15" s="15" t="s">
        <v>80</v>
      </c>
      <c r="M15" s="15" t="s">
        <v>35</v>
      </c>
      <c r="N15" s="19" t="s">
        <v>81</v>
      </c>
      <c r="O15" s="20"/>
      <c r="P15" s="21"/>
      <c r="Q15" s="20"/>
      <c r="R15" s="21"/>
      <c r="S15" s="20"/>
      <c r="T15" s="21"/>
      <c r="U15" s="20"/>
      <c r="V15" s="21"/>
      <c r="W15" s="20"/>
      <c r="X15" s="20"/>
    </row>
    <row r="16" ht="118" spans="1:24">
      <c r="A16" s="15" t="s">
        <v>20</v>
      </c>
      <c r="B16" s="15" t="s">
        <v>21</v>
      </c>
      <c r="C16" s="15" t="s">
        <v>22</v>
      </c>
      <c r="D16" s="15" t="s">
        <v>23</v>
      </c>
      <c r="E16" s="15"/>
      <c r="F16" s="15" t="s">
        <v>82</v>
      </c>
      <c r="G16" s="15" t="s">
        <v>83</v>
      </c>
      <c r="H16" s="15" t="s">
        <v>59</v>
      </c>
      <c r="I16" s="15" t="s">
        <v>27</v>
      </c>
      <c r="J16" s="15" t="s">
        <v>28</v>
      </c>
      <c r="K16" s="15" t="s">
        <v>84</v>
      </c>
      <c r="L16" s="15" t="s">
        <v>85</v>
      </c>
      <c r="M16" s="15" t="s">
        <v>35</v>
      </c>
      <c r="N16" s="19" t="s">
        <v>86</v>
      </c>
      <c r="O16" s="20"/>
      <c r="P16" s="21" t="str">
        <f t="shared" ref="P16:T16" si="10">IFERROR(O16/O17,"")</f>
        <v/>
      </c>
      <c r="Q16" s="20"/>
      <c r="R16" s="21" t="str">
        <f t="shared" si="10"/>
        <v/>
      </c>
      <c r="S16" s="20"/>
      <c r="T16" s="21" t="str">
        <f t="shared" si="10"/>
        <v/>
      </c>
      <c r="U16" s="20"/>
      <c r="V16" s="21" t="str">
        <f t="shared" si="9"/>
        <v/>
      </c>
      <c r="W16" s="20"/>
      <c r="X16" s="20"/>
    </row>
    <row r="17" ht="51" spans="1:24">
      <c r="A17" s="15" t="s">
        <v>20</v>
      </c>
      <c r="B17" s="15" t="s">
        <v>21</v>
      </c>
      <c r="C17" s="15" t="s">
        <v>22</v>
      </c>
      <c r="D17" s="15" t="s">
        <v>23</v>
      </c>
      <c r="E17" s="15"/>
      <c r="F17" s="15"/>
      <c r="G17" s="15"/>
      <c r="H17" s="15"/>
      <c r="I17" s="15"/>
      <c r="J17" s="15" t="s">
        <v>32</v>
      </c>
      <c r="K17" s="15" t="s">
        <v>87</v>
      </c>
      <c r="L17" s="15" t="s">
        <v>88</v>
      </c>
      <c r="M17" s="15" t="s">
        <v>35</v>
      </c>
      <c r="N17" s="19" t="s">
        <v>89</v>
      </c>
      <c r="O17" s="20"/>
      <c r="P17" s="21"/>
      <c r="Q17" s="20"/>
      <c r="R17" s="21"/>
      <c r="S17" s="20"/>
      <c r="T17" s="21"/>
      <c r="U17" s="20"/>
      <c r="V17" s="21"/>
      <c r="W17" s="20"/>
      <c r="X17" s="20"/>
    </row>
    <row r="18" ht="118" spans="1:24">
      <c r="A18" s="15" t="s">
        <v>20</v>
      </c>
      <c r="B18" s="15" t="s">
        <v>21</v>
      </c>
      <c r="C18" s="15" t="s">
        <v>22</v>
      </c>
      <c r="D18" s="15" t="s">
        <v>23</v>
      </c>
      <c r="E18" s="15"/>
      <c r="F18" s="15" t="s">
        <v>90</v>
      </c>
      <c r="G18" s="15" t="s">
        <v>91</v>
      </c>
      <c r="H18" s="15" t="s">
        <v>59</v>
      </c>
      <c r="I18" s="15" t="s">
        <v>27</v>
      </c>
      <c r="J18" s="15" t="s">
        <v>28</v>
      </c>
      <c r="K18" s="15" t="s">
        <v>92</v>
      </c>
      <c r="L18" s="15" t="s">
        <v>93</v>
      </c>
      <c r="M18" s="15" t="s">
        <v>35</v>
      </c>
      <c r="N18" s="19" t="s">
        <v>94</v>
      </c>
      <c r="O18" s="20"/>
      <c r="P18" s="21" t="str">
        <f t="shared" ref="P18:T18" si="11">IFERROR(O18/O19,"")</f>
        <v/>
      </c>
      <c r="Q18" s="20"/>
      <c r="R18" s="21" t="str">
        <f t="shared" si="11"/>
        <v/>
      </c>
      <c r="S18" s="20"/>
      <c r="T18" s="21" t="str">
        <f t="shared" si="11"/>
        <v/>
      </c>
      <c r="U18" s="20"/>
      <c r="V18" s="21" t="str">
        <f t="shared" si="9"/>
        <v/>
      </c>
      <c r="W18" s="20"/>
      <c r="X18" s="20"/>
    </row>
    <row r="19" ht="84" spans="1:24">
      <c r="A19" s="15" t="s">
        <v>20</v>
      </c>
      <c r="B19" s="15" t="s">
        <v>21</v>
      </c>
      <c r="C19" s="15" t="s">
        <v>22</v>
      </c>
      <c r="D19" s="15" t="s">
        <v>23</v>
      </c>
      <c r="E19" s="15"/>
      <c r="F19" s="15"/>
      <c r="G19" s="15"/>
      <c r="H19" s="15"/>
      <c r="I19" s="15"/>
      <c r="J19" s="15" t="s">
        <v>32</v>
      </c>
      <c r="K19" s="15" t="s">
        <v>95</v>
      </c>
      <c r="L19" s="15" t="s">
        <v>96</v>
      </c>
      <c r="M19" s="15" t="s">
        <v>35</v>
      </c>
      <c r="N19" s="19" t="s">
        <v>97</v>
      </c>
      <c r="O19" s="20"/>
      <c r="P19" s="21"/>
      <c r="Q19" s="20"/>
      <c r="R19" s="21"/>
      <c r="S19" s="20"/>
      <c r="T19" s="21"/>
      <c r="U19" s="20"/>
      <c r="V19" s="21"/>
      <c r="W19" s="20"/>
      <c r="X19" s="20"/>
    </row>
    <row r="20" ht="118" spans="1:24">
      <c r="A20" s="15" t="s">
        <v>20</v>
      </c>
      <c r="B20" s="15" t="s">
        <v>21</v>
      </c>
      <c r="C20" s="15" t="s">
        <v>22</v>
      </c>
      <c r="D20" s="15" t="s">
        <v>23</v>
      </c>
      <c r="E20" s="15"/>
      <c r="F20" s="15" t="s">
        <v>98</v>
      </c>
      <c r="G20" s="15" t="s">
        <v>99</v>
      </c>
      <c r="H20" s="15" t="s">
        <v>59</v>
      </c>
      <c r="I20" s="15" t="s">
        <v>27</v>
      </c>
      <c r="J20" s="15" t="s">
        <v>28</v>
      </c>
      <c r="K20" s="15" t="s">
        <v>100</v>
      </c>
      <c r="L20" s="15" t="s">
        <v>101</v>
      </c>
      <c r="M20" s="15" t="s">
        <v>35</v>
      </c>
      <c r="N20" s="19" t="s">
        <v>102</v>
      </c>
      <c r="O20" s="20"/>
      <c r="P20" s="21" t="str">
        <f t="shared" ref="P20:T20" si="12">IFERROR(O20/O21,"")</f>
        <v/>
      </c>
      <c r="Q20" s="20"/>
      <c r="R20" s="21" t="str">
        <f t="shared" si="12"/>
        <v/>
      </c>
      <c r="S20" s="20"/>
      <c r="T20" s="21" t="str">
        <f t="shared" si="12"/>
        <v/>
      </c>
      <c r="U20" s="20"/>
      <c r="V20" s="21" t="str">
        <f t="shared" ref="V20:V24" si="13">IFERROR(U20/U21,"")</f>
        <v/>
      </c>
      <c r="W20" s="20"/>
      <c r="X20" s="20"/>
    </row>
    <row r="21" ht="51" spans="1:24">
      <c r="A21" s="15" t="s">
        <v>20</v>
      </c>
      <c r="B21" s="15" t="s">
        <v>21</v>
      </c>
      <c r="C21" s="15" t="s">
        <v>22</v>
      </c>
      <c r="D21" s="15" t="s">
        <v>23</v>
      </c>
      <c r="E21" s="15"/>
      <c r="F21" s="15"/>
      <c r="G21" s="15"/>
      <c r="H21" s="15"/>
      <c r="I21" s="15"/>
      <c r="J21" s="15" t="s">
        <v>32</v>
      </c>
      <c r="K21" s="15" t="s">
        <v>103</v>
      </c>
      <c r="L21" s="15" t="s">
        <v>104</v>
      </c>
      <c r="M21" s="15" t="s">
        <v>35</v>
      </c>
      <c r="N21" s="19" t="s">
        <v>105</v>
      </c>
      <c r="O21" s="20"/>
      <c r="P21" s="21"/>
      <c r="Q21" s="20"/>
      <c r="R21" s="21"/>
      <c r="S21" s="20"/>
      <c r="T21" s="21"/>
      <c r="U21" s="20"/>
      <c r="V21" s="21"/>
      <c r="W21" s="20"/>
      <c r="X21" s="20"/>
    </row>
    <row r="22" ht="118" spans="1:24">
      <c r="A22" s="15" t="s">
        <v>20</v>
      </c>
      <c r="B22" s="15" t="s">
        <v>21</v>
      </c>
      <c r="C22" s="15" t="s">
        <v>22</v>
      </c>
      <c r="D22" s="15" t="s">
        <v>23</v>
      </c>
      <c r="E22" s="15"/>
      <c r="F22" s="15" t="s">
        <v>106</v>
      </c>
      <c r="G22" s="15" t="s">
        <v>107</v>
      </c>
      <c r="H22" s="15" t="s">
        <v>59</v>
      </c>
      <c r="I22" s="15" t="s">
        <v>27</v>
      </c>
      <c r="J22" s="15" t="s">
        <v>28</v>
      </c>
      <c r="K22" s="15" t="s">
        <v>108</v>
      </c>
      <c r="L22" s="15" t="s">
        <v>109</v>
      </c>
      <c r="M22" s="15" t="s">
        <v>35</v>
      </c>
      <c r="N22" s="19" t="s">
        <v>110</v>
      </c>
      <c r="O22" s="20"/>
      <c r="P22" s="21" t="str">
        <f t="shared" ref="P22:T22" si="14">IFERROR(O22/O23,"")</f>
        <v/>
      </c>
      <c r="Q22" s="20"/>
      <c r="R22" s="21" t="str">
        <f t="shared" si="14"/>
        <v/>
      </c>
      <c r="S22" s="20"/>
      <c r="T22" s="21" t="str">
        <f t="shared" si="14"/>
        <v/>
      </c>
      <c r="U22" s="20"/>
      <c r="V22" s="21" t="str">
        <f t="shared" si="13"/>
        <v/>
      </c>
      <c r="W22" s="20"/>
      <c r="X22" s="20"/>
    </row>
    <row r="23" ht="51" spans="1:24">
      <c r="A23" s="15" t="s">
        <v>20</v>
      </c>
      <c r="B23" s="15" t="s">
        <v>21</v>
      </c>
      <c r="C23" s="15" t="s">
        <v>22</v>
      </c>
      <c r="D23" s="15" t="s">
        <v>23</v>
      </c>
      <c r="E23" s="15"/>
      <c r="F23" s="15"/>
      <c r="G23" s="15"/>
      <c r="H23" s="15"/>
      <c r="I23" s="15"/>
      <c r="J23" s="15" t="s">
        <v>32</v>
      </c>
      <c r="K23" s="15" t="s">
        <v>111</v>
      </c>
      <c r="L23" s="15" t="s">
        <v>112</v>
      </c>
      <c r="M23" s="15" t="s">
        <v>35</v>
      </c>
      <c r="N23" s="19" t="s">
        <v>113</v>
      </c>
      <c r="O23" s="20"/>
      <c r="P23" s="21"/>
      <c r="Q23" s="20"/>
      <c r="R23" s="21"/>
      <c r="S23" s="20"/>
      <c r="T23" s="21"/>
      <c r="U23" s="20"/>
      <c r="V23" s="21"/>
      <c r="W23" s="20"/>
      <c r="X23" s="20"/>
    </row>
    <row r="24" ht="118" spans="1:24">
      <c r="A24" s="15" t="s">
        <v>20</v>
      </c>
      <c r="B24" s="15" t="s">
        <v>21</v>
      </c>
      <c r="C24" s="15" t="s">
        <v>22</v>
      </c>
      <c r="D24" s="15" t="s">
        <v>23</v>
      </c>
      <c r="E24" s="15"/>
      <c r="F24" s="15" t="s">
        <v>114</v>
      </c>
      <c r="G24" s="15" t="s">
        <v>115</v>
      </c>
      <c r="H24" s="15" t="s">
        <v>59</v>
      </c>
      <c r="I24" s="15" t="s">
        <v>27</v>
      </c>
      <c r="J24" s="15" t="s">
        <v>28</v>
      </c>
      <c r="K24" s="15" t="s">
        <v>116</v>
      </c>
      <c r="L24" s="15" t="s">
        <v>117</v>
      </c>
      <c r="M24" s="15" t="s">
        <v>35</v>
      </c>
      <c r="N24" s="19" t="s">
        <v>118</v>
      </c>
      <c r="O24" s="20"/>
      <c r="P24" s="21" t="str">
        <f t="shared" ref="P24:T24" si="15">IFERROR(O24/O25,"")</f>
        <v/>
      </c>
      <c r="Q24" s="20"/>
      <c r="R24" s="21" t="str">
        <f t="shared" si="15"/>
        <v/>
      </c>
      <c r="S24" s="20"/>
      <c r="T24" s="21" t="str">
        <f t="shared" si="15"/>
        <v/>
      </c>
      <c r="U24" s="20"/>
      <c r="V24" s="21" t="str">
        <f t="shared" si="13"/>
        <v/>
      </c>
      <c r="W24" s="20"/>
      <c r="X24" s="20"/>
    </row>
    <row r="25" ht="51" spans="1:24">
      <c r="A25" s="15" t="s">
        <v>20</v>
      </c>
      <c r="B25" s="15" t="s">
        <v>21</v>
      </c>
      <c r="C25" s="15" t="s">
        <v>22</v>
      </c>
      <c r="D25" s="15" t="s">
        <v>23</v>
      </c>
      <c r="E25" s="15"/>
      <c r="F25" s="15"/>
      <c r="G25" s="15"/>
      <c r="H25" s="15"/>
      <c r="I25" s="15"/>
      <c r="J25" s="15" t="s">
        <v>32</v>
      </c>
      <c r="K25" s="15" t="s">
        <v>119</v>
      </c>
      <c r="L25" s="15" t="s">
        <v>120</v>
      </c>
      <c r="M25" s="15" t="s">
        <v>35</v>
      </c>
      <c r="N25" s="19" t="s">
        <v>121</v>
      </c>
      <c r="O25" s="20"/>
      <c r="P25" s="21"/>
      <c r="Q25" s="20"/>
      <c r="R25" s="21"/>
      <c r="S25" s="20"/>
      <c r="T25" s="21"/>
      <c r="U25" s="20"/>
      <c r="V25" s="21"/>
      <c r="W25" s="20"/>
      <c r="X25" s="20"/>
    </row>
    <row r="26" ht="118" spans="1:24">
      <c r="A26" s="15" t="s">
        <v>20</v>
      </c>
      <c r="B26" s="15" t="s">
        <v>21</v>
      </c>
      <c r="C26" s="15" t="s">
        <v>22</v>
      </c>
      <c r="D26" s="15" t="s">
        <v>23</v>
      </c>
      <c r="E26" s="15"/>
      <c r="F26" s="15" t="s">
        <v>122</v>
      </c>
      <c r="G26" s="15" t="s">
        <v>123</v>
      </c>
      <c r="H26" s="15" t="s">
        <v>59</v>
      </c>
      <c r="I26" s="15" t="s">
        <v>27</v>
      </c>
      <c r="J26" s="15" t="s">
        <v>28</v>
      </c>
      <c r="K26" s="15" t="s">
        <v>124</v>
      </c>
      <c r="L26" s="15" t="s">
        <v>125</v>
      </c>
      <c r="M26" s="15" t="s">
        <v>35</v>
      </c>
      <c r="N26" s="19" t="s">
        <v>126</v>
      </c>
      <c r="O26" s="20"/>
      <c r="P26" s="21" t="str">
        <f t="shared" ref="P26:T26" si="16">IFERROR(O26/O27,"")</f>
        <v/>
      </c>
      <c r="Q26" s="20"/>
      <c r="R26" s="21" t="str">
        <f t="shared" si="16"/>
        <v/>
      </c>
      <c r="S26" s="20"/>
      <c r="T26" s="21" t="str">
        <f t="shared" si="16"/>
        <v/>
      </c>
      <c r="U26" s="20"/>
      <c r="V26" s="21" t="str">
        <f t="shared" ref="V26:V30" si="17">IFERROR(U26/U27,"")</f>
        <v/>
      </c>
      <c r="W26" s="20"/>
      <c r="X26" s="20"/>
    </row>
    <row r="27" ht="84" spans="1:24">
      <c r="A27" s="15" t="s">
        <v>20</v>
      </c>
      <c r="B27" s="15" t="s">
        <v>21</v>
      </c>
      <c r="C27" s="15" t="s">
        <v>22</v>
      </c>
      <c r="D27" s="15" t="s">
        <v>23</v>
      </c>
      <c r="E27" s="15"/>
      <c r="F27" s="15"/>
      <c r="G27" s="15"/>
      <c r="H27" s="15"/>
      <c r="I27" s="15"/>
      <c r="J27" s="15" t="s">
        <v>32</v>
      </c>
      <c r="K27" s="15" t="s">
        <v>127</v>
      </c>
      <c r="L27" s="15" t="s">
        <v>128</v>
      </c>
      <c r="M27" s="15" t="s">
        <v>35</v>
      </c>
      <c r="N27" s="19" t="s">
        <v>129</v>
      </c>
      <c r="O27" s="20"/>
      <c r="P27" s="21"/>
      <c r="Q27" s="20"/>
      <c r="R27" s="21"/>
      <c r="S27" s="20"/>
      <c r="T27" s="21"/>
      <c r="U27" s="20"/>
      <c r="V27" s="21"/>
      <c r="W27" s="20"/>
      <c r="X27" s="20"/>
    </row>
    <row r="28" ht="101" spans="1:24">
      <c r="A28" s="15" t="s">
        <v>20</v>
      </c>
      <c r="B28" s="15" t="s">
        <v>21</v>
      </c>
      <c r="C28" s="15" t="s">
        <v>22</v>
      </c>
      <c r="D28" s="15" t="s">
        <v>23</v>
      </c>
      <c r="E28" s="15"/>
      <c r="F28" s="15" t="s">
        <v>130</v>
      </c>
      <c r="G28" s="15" t="s">
        <v>131</v>
      </c>
      <c r="H28" s="15" t="s">
        <v>59</v>
      </c>
      <c r="I28" s="15" t="s">
        <v>27</v>
      </c>
      <c r="J28" s="15" t="s">
        <v>28</v>
      </c>
      <c r="K28" s="15" t="s">
        <v>132</v>
      </c>
      <c r="L28" s="15" t="s">
        <v>133</v>
      </c>
      <c r="M28" s="15" t="s">
        <v>35</v>
      </c>
      <c r="N28" s="19" t="s">
        <v>134</v>
      </c>
      <c r="O28" s="20"/>
      <c r="P28" s="21" t="str">
        <f t="shared" ref="P28:T28" si="18">IFERROR(O28/O29,"")</f>
        <v/>
      </c>
      <c r="Q28" s="20"/>
      <c r="R28" s="21" t="str">
        <f t="shared" si="18"/>
        <v/>
      </c>
      <c r="S28" s="20"/>
      <c r="T28" s="21" t="str">
        <f t="shared" si="18"/>
        <v/>
      </c>
      <c r="U28" s="20"/>
      <c r="V28" s="21" t="str">
        <f t="shared" si="17"/>
        <v/>
      </c>
      <c r="W28" s="20"/>
      <c r="X28" s="20"/>
    </row>
    <row r="29" ht="51" spans="1:24">
      <c r="A29" s="15" t="s">
        <v>20</v>
      </c>
      <c r="B29" s="15" t="s">
        <v>21</v>
      </c>
      <c r="C29" s="15" t="s">
        <v>22</v>
      </c>
      <c r="D29" s="15" t="s">
        <v>23</v>
      </c>
      <c r="E29" s="15"/>
      <c r="F29" s="15"/>
      <c r="G29" s="15"/>
      <c r="H29" s="15"/>
      <c r="I29" s="15"/>
      <c r="J29" s="15" t="s">
        <v>32</v>
      </c>
      <c r="K29" s="15" t="s">
        <v>135</v>
      </c>
      <c r="L29" s="15" t="s">
        <v>136</v>
      </c>
      <c r="M29" s="15" t="s">
        <v>35</v>
      </c>
      <c r="N29" s="19" t="s">
        <v>137</v>
      </c>
      <c r="O29" s="20"/>
      <c r="P29" s="21"/>
      <c r="Q29" s="20"/>
      <c r="R29" s="21"/>
      <c r="S29" s="20"/>
      <c r="T29" s="21"/>
      <c r="U29" s="20"/>
      <c r="V29" s="21"/>
      <c r="W29" s="20"/>
      <c r="X29" s="20"/>
    </row>
    <row r="30" ht="118" spans="1:24">
      <c r="A30" s="15" t="s">
        <v>20</v>
      </c>
      <c r="B30" s="15" t="s">
        <v>21</v>
      </c>
      <c r="C30" s="15" t="s">
        <v>22</v>
      </c>
      <c r="D30" s="15" t="s">
        <v>23</v>
      </c>
      <c r="E30" s="15"/>
      <c r="F30" s="15" t="s">
        <v>138</v>
      </c>
      <c r="G30" s="15" t="s">
        <v>139</v>
      </c>
      <c r="H30" s="15" t="s">
        <v>59</v>
      </c>
      <c r="I30" s="15" t="s">
        <v>27</v>
      </c>
      <c r="J30" s="15" t="s">
        <v>28</v>
      </c>
      <c r="K30" s="15" t="s">
        <v>140</v>
      </c>
      <c r="L30" s="15" t="s">
        <v>141</v>
      </c>
      <c r="M30" s="15" t="s">
        <v>35</v>
      </c>
      <c r="N30" s="19" t="s">
        <v>142</v>
      </c>
      <c r="O30" s="20"/>
      <c r="P30" s="21" t="str">
        <f t="shared" ref="P30:T30" si="19">IFERROR(O30/O31,"")</f>
        <v/>
      </c>
      <c r="Q30" s="20"/>
      <c r="R30" s="21" t="str">
        <f t="shared" si="19"/>
        <v/>
      </c>
      <c r="S30" s="20"/>
      <c r="T30" s="21" t="str">
        <f t="shared" si="19"/>
        <v/>
      </c>
      <c r="U30" s="20"/>
      <c r="V30" s="21" t="str">
        <f t="shared" si="17"/>
        <v/>
      </c>
      <c r="W30" s="20"/>
      <c r="X30" s="20"/>
    </row>
    <row r="31" ht="68" spans="1:24">
      <c r="A31" s="15" t="s">
        <v>20</v>
      </c>
      <c r="B31" s="15" t="s">
        <v>21</v>
      </c>
      <c r="C31" s="15" t="s">
        <v>22</v>
      </c>
      <c r="D31" s="15" t="s">
        <v>23</v>
      </c>
      <c r="E31" s="15"/>
      <c r="F31" s="15"/>
      <c r="G31" s="15"/>
      <c r="H31" s="15"/>
      <c r="I31" s="15"/>
      <c r="J31" s="15" t="s">
        <v>32</v>
      </c>
      <c r="K31" s="15" t="s">
        <v>143</v>
      </c>
      <c r="L31" s="15" t="s">
        <v>144</v>
      </c>
      <c r="M31" s="15" t="s">
        <v>35</v>
      </c>
      <c r="N31" s="19" t="s">
        <v>145</v>
      </c>
      <c r="O31" s="20"/>
      <c r="P31" s="21"/>
      <c r="Q31" s="20"/>
      <c r="R31" s="21"/>
      <c r="S31" s="20"/>
      <c r="T31" s="21"/>
      <c r="U31" s="20"/>
      <c r="V31" s="21"/>
      <c r="W31" s="20"/>
      <c r="X31" s="20"/>
    </row>
    <row r="32" ht="118" spans="1:24">
      <c r="A32" s="15" t="s">
        <v>20</v>
      </c>
      <c r="B32" s="15" t="s">
        <v>21</v>
      </c>
      <c r="C32" s="15" t="s">
        <v>22</v>
      </c>
      <c r="D32" s="15" t="s">
        <v>23</v>
      </c>
      <c r="E32" s="15"/>
      <c r="F32" s="15" t="s">
        <v>146</v>
      </c>
      <c r="G32" s="15" t="s">
        <v>147</v>
      </c>
      <c r="H32" s="15" t="s">
        <v>59</v>
      </c>
      <c r="I32" s="15" t="s">
        <v>27</v>
      </c>
      <c r="J32" s="15" t="s">
        <v>28</v>
      </c>
      <c r="K32" s="15" t="s">
        <v>148</v>
      </c>
      <c r="L32" s="15" t="s">
        <v>149</v>
      </c>
      <c r="M32" s="15" t="s">
        <v>35</v>
      </c>
      <c r="N32" s="19" t="s">
        <v>150</v>
      </c>
      <c r="O32" s="20"/>
      <c r="P32" s="21" t="str">
        <f>IFERROR(O32/O33,"")</f>
        <v/>
      </c>
      <c r="Q32" s="20"/>
      <c r="R32" s="21" t="str">
        <f>IFERROR(Q32/Q33,"")</f>
        <v/>
      </c>
      <c r="S32" s="20"/>
      <c r="T32" s="21" t="str">
        <f>IFERROR(S32/S33,"")</f>
        <v/>
      </c>
      <c r="U32" s="20"/>
      <c r="V32" s="21" t="str">
        <f>IFERROR(U32/U33,"")</f>
        <v/>
      </c>
      <c r="W32" s="20"/>
      <c r="X32" s="20"/>
    </row>
    <row r="33" ht="51" spans="1:24">
      <c r="A33" s="15" t="s">
        <v>20</v>
      </c>
      <c r="B33" s="15" t="s">
        <v>21</v>
      </c>
      <c r="C33" s="15" t="s">
        <v>22</v>
      </c>
      <c r="D33" s="15" t="s">
        <v>23</v>
      </c>
      <c r="E33" s="15"/>
      <c r="F33" s="15"/>
      <c r="G33" s="15"/>
      <c r="H33" s="15"/>
      <c r="I33" s="15"/>
      <c r="J33" s="15" t="s">
        <v>32</v>
      </c>
      <c r="K33" s="15" t="s">
        <v>151</v>
      </c>
      <c r="L33" s="15" t="s">
        <v>152</v>
      </c>
      <c r="M33" s="15" t="s">
        <v>35</v>
      </c>
      <c r="N33" s="19" t="s">
        <v>153</v>
      </c>
      <c r="O33" s="20"/>
      <c r="P33" s="21"/>
      <c r="Q33" s="20"/>
      <c r="R33" s="21"/>
      <c r="S33" s="20"/>
      <c r="T33" s="21"/>
      <c r="U33" s="20"/>
      <c r="V33" s="21"/>
      <c r="W33" s="20"/>
      <c r="X33" s="20"/>
    </row>
    <row r="34" ht="118" spans="1:24">
      <c r="A34" s="15" t="s">
        <v>20</v>
      </c>
      <c r="B34" s="15" t="s">
        <v>21</v>
      </c>
      <c r="C34" s="15" t="s">
        <v>22</v>
      </c>
      <c r="D34" s="15" t="s">
        <v>23</v>
      </c>
      <c r="E34" s="15"/>
      <c r="F34" s="15" t="s">
        <v>154</v>
      </c>
      <c r="G34" s="15" t="s">
        <v>155</v>
      </c>
      <c r="H34" s="15" t="s">
        <v>59</v>
      </c>
      <c r="I34" s="15" t="s">
        <v>27</v>
      </c>
      <c r="J34" s="15" t="s">
        <v>28</v>
      </c>
      <c r="K34" s="15" t="s">
        <v>156</v>
      </c>
      <c r="L34" s="15" t="s">
        <v>157</v>
      </c>
      <c r="M34" s="15" t="s">
        <v>35</v>
      </c>
      <c r="N34" s="19" t="s">
        <v>158</v>
      </c>
      <c r="O34" s="20"/>
      <c r="P34" s="21" t="str">
        <f>IFERROR(O34/O35,"")</f>
        <v/>
      </c>
      <c r="Q34" s="20"/>
      <c r="R34" s="21" t="str">
        <f>IFERROR(Q34/Q35,"")</f>
        <v/>
      </c>
      <c r="S34" s="20"/>
      <c r="T34" s="21" t="str">
        <f>IFERROR(S34/S35,"")</f>
        <v/>
      </c>
      <c r="U34" s="20"/>
      <c r="V34" s="21" t="str">
        <f>IFERROR(U34/U35,"")</f>
        <v/>
      </c>
      <c r="W34" s="20"/>
      <c r="X34" s="20"/>
    </row>
    <row r="35" ht="51" spans="1:24">
      <c r="A35" s="15" t="s">
        <v>20</v>
      </c>
      <c r="B35" s="15" t="s">
        <v>21</v>
      </c>
      <c r="C35" s="15" t="s">
        <v>22</v>
      </c>
      <c r="D35" s="15" t="s">
        <v>23</v>
      </c>
      <c r="E35" s="15"/>
      <c r="F35" s="15"/>
      <c r="G35" s="15"/>
      <c r="H35" s="15"/>
      <c r="I35" s="15"/>
      <c r="J35" s="15" t="s">
        <v>32</v>
      </c>
      <c r="K35" s="15" t="s">
        <v>159</v>
      </c>
      <c r="L35" s="15" t="s">
        <v>160</v>
      </c>
      <c r="M35" s="15" t="s">
        <v>35</v>
      </c>
      <c r="N35" s="19" t="s">
        <v>161</v>
      </c>
      <c r="O35" s="20"/>
      <c r="P35" s="21"/>
      <c r="Q35" s="20"/>
      <c r="R35" s="21"/>
      <c r="S35" s="20"/>
      <c r="T35" s="21"/>
      <c r="U35" s="20"/>
      <c r="V35" s="21"/>
      <c r="W35" s="20"/>
      <c r="X35" s="20"/>
    </row>
    <row r="36" ht="118" spans="1:24">
      <c r="A36" s="15" t="s">
        <v>20</v>
      </c>
      <c r="B36" s="15" t="s">
        <v>21</v>
      </c>
      <c r="C36" s="15" t="s">
        <v>22</v>
      </c>
      <c r="D36" s="15" t="s">
        <v>23</v>
      </c>
      <c r="E36" s="15"/>
      <c r="F36" s="15" t="s">
        <v>162</v>
      </c>
      <c r="G36" s="15" t="s">
        <v>163</v>
      </c>
      <c r="H36" s="15" t="s">
        <v>26</v>
      </c>
      <c r="I36" s="15" t="s">
        <v>27</v>
      </c>
      <c r="J36" s="15" t="s">
        <v>28</v>
      </c>
      <c r="K36" s="15" t="s">
        <v>164</v>
      </c>
      <c r="L36" s="15" t="s">
        <v>165</v>
      </c>
      <c r="M36" s="15" t="s">
        <v>35</v>
      </c>
      <c r="N36" s="19" t="s">
        <v>166</v>
      </c>
      <c r="O36" s="20"/>
      <c r="P36" s="21" t="str">
        <f>IFERROR(O36/O37,"")</f>
        <v/>
      </c>
      <c r="Q36" s="20"/>
      <c r="R36" s="21" t="str">
        <f>IFERROR(Q36/Q37,"")</f>
        <v/>
      </c>
      <c r="S36" s="20">
        <v>1</v>
      </c>
      <c r="T36" s="21">
        <f>IFERROR(S36/S37,"")</f>
        <v>0.00709219858156028</v>
      </c>
      <c r="U36" s="20"/>
      <c r="V36" s="21" t="str">
        <f>IFERROR(U36/U37,"")</f>
        <v/>
      </c>
      <c r="W36" s="20" t="s">
        <v>42</v>
      </c>
      <c r="X36" s="20"/>
    </row>
    <row r="37" ht="51" spans="1:24">
      <c r="A37" s="15" t="s">
        <v>20</v>
      </c>
      <c r="B37" s="15" t="s">
        <v>21</v>
      </c>
      <c r="C37" s="15" t="s">
        <v>22</v>
      </c>
      <c r="D37" s="15" t="s">
        <v>23</v>
      </c>
      <c r="E37" s="15"/>
      <c r="F37" s="15"/>
      <c r="G37" s="15"/>
      <c r="H37" s="15"/>
      <c r="I37" s="15"/>
      <c r="J37" s="15" t="s">
        <v>32</v>
      </c>
      <c r="K37" s="15" t="s">
        <v>43</v>
      </c>
      <c r="L37" s="15" t="s">
        <v>44</v>
      </c>
      <c r="M37" s="15" t="s">
        <v>35</v>
      </c>
      <c r="N37" s="19" t="s">
        <v>36</v>
      </c>
      <c r="O37" s="20"/>
      <c r="P37" s="21"/>
      <c r="Q37" s="20"/>
      <c r="R37" s="21"/>
      <c r="S37" s="20">
        <v>141</v>
      </c>
      <c r="T37" s="21"/>
      <c r="U37" s="20"/>
      <c r="V37" s="21"/>
      <c r="W37" s="20" t="s">
        <v>42</v>
      </c>
      <c r="X37" s="20"/>
    </row>
    <row r="38" ht="101" spans="1:24">
      <c r="A38" s="15" t="s">
        <v>20</v>
      </c>
      <c r="B38" s="15" t="s">
        <v>21</v>
      </c>
      <c r="C38" s="15" t="s">
        <v>22</v>
      </c>
      <c r="D38" s="15" t="s">
        <v>23</v>
      </c>
      <c r="E38" s="15"/>
      <c r="F38" s="15" t="s">
        <v>167</v>
      </c>
      <c r="G38" s="15" t="s">
        <v>168</v>
      </c>
      <c r="H38" s="15" t="s">
        <v>26</v>
      </c>
      <c r="I38" s="15" t="s">
        <v>27</v>
      </c>
      <c r="J38" s="15" t="s">
        <v>28</v>
      </c>
      <c r="K38" s="15" t="s">
        <v>169</v>
      </c>
      <c r="L38" s="15" t="s">
        <v>170</v>
      </c>
      <c r="M38" s="15" t="s">
        <v>35</v>
      </c>
      <c r="N38" s="19" t="s">
        <v>171</v>
      </c>
      <c r="O38" s="20">
        <v>1</v>
      </c>
      <c r="P38" s="21">
        <f>IFERROR(O38/O39,"")</f>
        <v>0.0126582278481013</v>
      </c>
      <c r="Q38" s="20">
        <v>1</v>
      </c>
      <c r="R38" s="21">
        <f t="shared" ref="R38:R42" si="20">IFERROR(Q38/Q39,"")</f>
        <v>0.0114942528735632</v>
      </c>
      <c r="S38" s="20">
        <v>3</v>
      </c>
      <c r="T38" s="21">
        <f t="shared" ref="T38:T42" si="21">IFERROR(S38/S39,"")</f>
        <v>0.0212765957446809</v>
      </c>
      <c r="U38" s="20"/>
      <c r="V38" s="21" t="str">
        <f>IFERROR(U38/U39,"")</f>
        <v/>
      </c>
      <c r="W38" s="20" t="s">
        <v>42</v>
      </c>
      <c r="X38" s="20"/>
    </row>
    <row r="39" ht="84" spans="1:24">
      <c r="A39" s="15" t="s">
        <v>20</v>
      </c>
      <c r="B39" s="15" t="s">
        <v>21</v>
      </c>
      <c r="C39" s="15" t="s">
        <v>22</v>
      </c>
      <c r="D39" s="15" t="s">
        <v>23</v>
      </c>
      <c r="E39" s="15"/>
      <c r="F39" s="15"/>
      <c r="G39" s="15"/>
      <c r="H39" s="15"/>
      <c r="I39" s="15"/>
      <c r="J39" s="15" t="s">
        <v>32</v>
      </c>
      <c r="K39" s="15" t="s">
        <v>43</v>
      </c>
      <c r="L39" s="15" t="s">
        <v>44</v>
      </c>
      <c r="M39" s="15" t="s">
        <v>35</v>
      </c>
      <c r="N39" s="19" t="s">
        <v>172</v>
      </c>
      <c r="O39" s="20">
        <v>79</v>
      </c>
      <c r="P39" s="21"/>
      <c r="Q39" s="20">
        <v>87</v>
      </c>
      <c r="R39" s="21"/>
      <c r="S39" s="20">
        <v>141</v>
      </c>
      <c r="T39" s="21"/>
      <c r="U39" s="20"/>
      <c r="V39" s="21"/>
      <c r="W39" s="20" t="s">
        <v>42</v>
      </c>
      <c r="X39" s="20"/>
    </row>
    <row r="40" ht="152" spans="1:24">
      <c r="A40" s="15" t="s">
        <v>20</v>
      </c>
      <c r="B40" s="15" t="s">
        <v>21</v>
      </c>
      <c r="C40" s="15" t="s">
        <v>22</v>
      </c>
      <c r="D40" s="15" t="s">
        <v>23</v>
      </c>
      <c r="E40" s="15"/>
      <c r="F40" s="15" t="s">
        <v>173</v>
      </c>
      <c r="G40" s="15" t="s">
        <v>174</v>
      </c>
      <c r="H40" s="15" t="s">
        <v>26</v>
      </c>
      <c r="I40" s="15" t="s">
        <v>27</v>
      </c>
      <c r="J40" s="15" t="s">
        <v>28</v>
      </c>
      <c r="K40" s="15" t="s">
        <v>175</v>
      </c>
      <c r="L40" s="15" t="s">
        <v>176</v>
      </c>
      <c r="M40" s="15" t="s">
        <v>35</v>
      </c>
      <c r="N40" s="19" t="s">
        <v>177</v>
      </c>
      <c r="O40" s="20"/>
      <c r="P40" s="21" t="str">
        <f t="shared" ref="P40:P44" si="22">IFERROR(O40/O41,"")</f>
        <v/>
      </c>
      <c r="Q40" s="20"/>
      <c r="R40" s="21" t="str">
        <f t="shared" si="20"/>
        <v/>
      </c>
      <c r="S40" s="20">
        <v>17</v>
      </c>
      <c r="T40" s="21">
        <f t="shared" si="21"/>
        <v>0.121428571428571</v>
      </c>
      <c r="U40" s="20"/>
      <c r="V40" s="21" t="str">
        <f>IFERROR(U40/U41,"")</f>
        <v/>
      </c>
      <c r="W40" s="20" t="s">
        <v>42</v>
      </c>
      <c r="X40" s="20"/>
    </row>
    <row r="41" ht="68" spans="1:24">
      <c r="A41" s="15" t="s">
        <v>20</v>
      </c>
      <c r="B41" s="15" t="s">
        <v>21</v>
      </c>
      <c r="C41" s="15" t="s">
        <v>22</v>
      </c>
      <c r="D41" s="15" t="s">
        <v>23</v>
      </c>
      <c r="E41" s="15"/>
      <c r="F41" s="15"/>
      <c r="G41" s="15"/>
      <c r="H41" s="15"/>
      <c r="I41" s="15"/>
      <c r="J41" s="15" t="s">
        <v>32</v>
      </c>
      <c r="K41" s="15" t="s">
        <v>178</v>
      </c>
      <c r="L41" s="15" t="s">
        <v>179</v>
      </c>
      <c r="M41" s="15" t="s">
        <v>35</v>
      </c>
      <c r="N41" s="19" t="s">
        <v>180</v>
      </c>
      <c r="O41" s="20"/>
      <c r="P41" s="21"/>
      <c r="Q41" s="20"/>
      <c r="R41" s="21"/>
      <c r="S41" s="20">
        <v>140</v>
      </c>
      <c r="T41" s="21"/>
      <c r="U41" s="20"/>
      <c r="V41" s="21"/>
      <c r="W41" s="20" t="s">
        <v>42</v>
      </c>
      <c r="X41" s="20"/>
    </row>
    <row r="42" ht="84" spans="1:24">
      <c r="A42" s="15" t="s">
        <v>20</v>
      </c>
      <c r="B42" s="15" t="s">
        <v>21</v>
      </c>
      <c r="C42" s="15" t="s">
        <v>22</v>
      </c>
      <c r="D42" s="15" t="s">
        <v>23</v>
      </c>
      <c r="E42" s="15"/>
      <c r="F42" s="15" t="s">
        <v>181</v>
      </c>
      <c r="G42" s="15" t="s">
        <v>182</v>
      </c>
      <c r="H42" s="15" t="s">
        <v>183</v>
      </c>
      <c r="I42" s="15" t="s">
        <v>27</v>
      </c>
      <c r="J42" s="15" t="s">
        <v>28</v>
      </c>
      <c r="K42" s="15" t="s">
        <v>184</v>
      </c>
      <c r="L42" s="15" t="s">
        <v>185</v>
      </c>
      <c r="M42" s="15" t="s">
        <v>35</v>
      </c>
      <c r="N42" s="19" t="s">
        <v>186</v>
      </c>
      <c r="O42" s="20">
        <v>1583</v>
      </c>
      <c r="P42" s="22">
        <f t="shared" si="22"/>
        <v>5.13961038961039</v>
      </c>
      <c r="Q42" s="20">
        <v>2222</v>
      </c>
      <c r="R42" s="22">
        <f t="shared" si="20"/>
        <v>5.87830687830688</v>
      </c>
      <c r="S42" s="20">
        <v>2245</v>
      </c>
      <c r="T42" s="22">
        <f t="shared" si="21"/>
        <v>4.40196078431373</v>
      </c>
      <c r="U42" s="20"/>
      <c r="V42" s="21" t="str">
        <f>IFERROR(U42/U43,"")</f>
        <v/>
      </c>
      <c r="W42" s="20" t="s">
        <v>42</v>
      </c>
      <c r="X42" s="20"/>
    </row>
    <row r="43" spans="1:24">
      <c r="A43" s="15" t="s">
        <v>20</v>
      </c>
      <c r="B43" s="15" t="s">
        <v>21</v>
      </c>
      <c r="C43" s="15" t="s">
        <v>22</v>
      </c>
      <c r="D43" s="15" t="s">
        <v>23</v>
      </c>
      <c r="E43" s="15"/>
      <c r="F43" s="15"/>
      <c r="G43" s="15"/>
      <c r="H43" s="15"/>
      <c r="I43" s="15"/>
      <c r="J43" s="15" t="s">
        <v>32</v>
      </c>
      <c r="K43" s="15" t="s">
        <v>187</v>
      </c>
      <c r="L43" s="15" t="s">
        <v>188</v>
      </c>
      <c r="M43" s="15" t="s">
        <v>35</v>
      </c>
      <c r="N43" s="13" t="s">
        <v>189</v>
      </c>
      <c r="O43" s="20">
        <v>308</v>
      </c>
      <c r="P43" s="22"/>
      <c r="Q43" s="20">
        <v>378</v>
      </c>
      <c r="R43" s="22"/>
      <c r="S43" s="20">
        <v>510</v>
      </c>
      <c r="T43" s="22"/>
      <c r="U43" s="20"/>
      <c r="V43" s="21"/>
      <c r="W43" s="20" t="s">
        <v>42</v>
      </c>
      <c r="X43" s="20"/>
    </row>
    <row r="44" ht="135" spans="1:24">
      <c r="A44" s="15" t="s">
        <v>20</v>
      </c>
      <c r="B44" s="15" t="s">
        <v>21</v>
      </c>
      <c r="C44" s="15" t="s">
        <v>22</v>
      </c>
      <c r="D44" s="15" t="s">
        <v>23</v>
      </c>
      <c r="E44" s="15"/>
      <c r="F44" s="15" t="s">
        <v>190</v>
      </c>
      <c r="G44" s="15" t="s">
        <v>191</v>
      </c>
      <c r="H44" s="15" t="s">
        <v>183</v>
      </c>
      <c r="I44" s="15" t="s">
        <v>27</v>
      </c>
      <c r="J44" s="15" t="s">
        <v>28</v>
      </c>
      <c r="K44" s="15" t="s">
        <v>192</v>
      </c>
      <c r="L44" s="15" t="s">
        <v>193</v>
      </c>
      <c r="M44" s="15" t="s">
        <v>35</v>
      </c>
      <c r="N44" s="19" t="s">
        <v>194</v>
      </c>
      <c r="O44" s="20">
        <v>172</v>
      </c>
      <c r="P44" s="22">
        <f t="shared" si="22"/>
        <v>2.17721518987342</v>
      </c>
      <c r="Q44" s="20">
        <v>114.57</v>
      </c>
      <c r="R44" s="22">
        <f>IFERROR(Q44/Q45,"")</f>
        <v>1.31689655172414</v>
      </c>
      <c r="S44" s="20">
        <v>322.82</v>
      </c>
      <c r="T44" s="22">
        <f>IFERROR(S44/S45,"")</f>
        <v>2.28950354609929</v>
      </c>
      <c r="U44" s="20"/>
      <c r="V44" s="21" t="str">
        <f>IFERROR(U44/U45,"")</f>
        <v/>
      </c>
      <c r="W44" s="20" t="s">
        <v>42</v>
      </c>
      <c r="X44" s="20"/>
    </row>
    <row r="45" ht="51" spans="1:24">
      <c r="A45" s="15" t="s">
        <v>20</v>
      </c>
      <c r="B45" s="15" t="s">
        <v>21</v>
      </c>
      <c r="C45" s="15" t="s">
        <v>22</v>
      </c>
      <c r="D45" s="15" t="s">
        <v>23</v>
      </c>
      <c r="E45" s="15"/>
      <c r="F45" s="15"/>
      <c r="G45" s="15"/>
      <c r="H45" s="15"/>
      <c r="I45" s="15"/>
      <c r="J45" s="15" t="s">
        <v>32</v>
      </c>
      <c r="K45" s="15" t="s">
        <v>33</v>
      </c>
      <c r="L45" s="15" t="s">
        <v>34</v>
      </c>
      <c r="M45" s="15" t="s">
        <v>35</v>
      </c>
      <c r="N45" s="19" t="s">
        <v>36</v>
      </c>
      <c r="O45" s="20">
        <v>79</v>
      </c>
      <c r="P45" s="22"/>
      <c r="Q45" s="20">
        <v>87</v>
      </c>
      <c r="R45" s="22"/>
      <c r="S45" s="20">
        <v>141</v>
      </c>
      <c r="T45" s="22"/>
      <c r="U45" s="20"/>
      <c r="V45" s="21"/>
      <c r="W45" s="20" t="s">
        <v>42</v>
      </c>
      <c r="X45" s="20"/>
    </row>
    <row r="46" ht="101" spans="1:24">
      <c r="A46" s="15" t="s">
        <v>20</v>
      </c>
      <c r="B46" s="15" t="s">
        <v>21</v>
      </c>
      <c r="C46" s="15" t="s">
        <v>22</v>
      </c>
      <c r="D46" s="15" t="s">
        <v>23</v>
      </c>
      <c r="E46" s="15"/>
      <c r="F46" s="15" t="s">
        <v>195</v>
      </c>
      <c r="G46" s="15" t="s">
        <v>196</v>
      </c>
      <c r="H46" s="15" t="s">
        <v>26</v>
      </c>
      <c r="I46" s="15" t="s">
        <v>27</v>
      </c>
      <c r="J46" s="15" t="s">
        <v>28</v>
      </c>
      <c r="K46" s="15" t="s">
        <v>197</v>
      </c>
      <c r="L46" s="15" t="s">
        <v>198</v>
      </c>
      <c r="M46" s="15" t="s">
        <v>35</v>
      </c>
      <c r="N46" s="19" t="s">
        <v>199</v>
      </c>
      <c r="O46" s="20">
        <v>149</v>
      </c>
      <c r="P46" s="21">
        <f>IFERROR(O46/O47,"")</f>
        <v>0.483766233766234</v>
      </c>
      <c r="Q46" s="20">
        <v>310</v>
      </c>
      <c r="R46" s="21">
        <f>IFERROR(Q46/Q47,"")</f>
        <v>0.82010582010582</v>
      </c>
      <c r="S46" s="20">
        <v>366</v>
      </c>
      <c r="T46" s="21">
        <f>IFERROR(S46/S47,"")</f>
        <v>0.717647058823529</v>
      </c>
      <c r="U46" s="20"/>
      <c r="V46" s="21" t="str">
        <f>IFERROR(U46/U47,"")</f>
        <v/>
      </c>
      <c r="W46" s="20" t="s">
        <v>42</v>
      </c>
      <c r="X46" s="20"/>
    </row>
    <row r="47" spans="1:24">
      <c r="A47" s="15" t="s">
        <v>20</v>
      </c>
      <c r="B47" s="15" t="s">
        <v>21</v>
      </c>
      <c r="C47" s="15" t="s">
        <v>22</v>
      </c>
      <c r="D47" s="15" t="s">
        <v>23</v>
      </c>
      <c r="E47" s="15"/>
      <c r="F47" s="15"/>
      <c r="G47" s="15"/>
      <c r="H47" s="15"/>
      <c r="I47" s="15"/>
      <c r="J47" s="15" t="s">
        <v>32</v>
      </c>
      <c r="K47" s="15" t="s">
        <v>187</v>
      </c>
      <c r="L47" s="15" t="s">
        <v>188</v>
      </c>
      <c r="M47" s="15" t="s">
        <v>35</v>
      </c>
      <c r="N47" s="13" t="s">
        <v>200</v>
      </c>
      <c r="O47" s="20">
        <v>308</v>
      </c>
      <c r="P47" s="21"/>
      <c r="Q47" s="20">
        <v>378</v>
      </c>
      <c r="R47" s="21"/>
      <c r="S47" s="20">
        <v>510</v>
      </c>
      <c r="T47" s="21"/>
      <c r="U47" s="20"/>
      <c r="V47" s="21"/>
      <c r="W47" s="20" t="s">
        <v>42</v>
      </c>
      <c r="X47" s="20"/>
    </row>
    <row r="48" ht="17" spans="1:24">
      <c r="A48" s="15" t="s">
        <v>20</v>
      </c>
      <c r="B48" s="15" t="s">
        <v>21</v>
      </c>
      <c r="C48" s="15" t="s">
        <v>22</v>
      </c>
      <c r="D48" s="15" t="s">
        <v>23</v>
      </c>
      <c r="E48" s="15"/>
      <c r="F48" s="15" t="s">
        <v>201</v>
      </c>
      <c r="G48" s="15" t="s">
        <v>202</v>
      </c>
      <c r="H48" s="15" t="s">
        <v>26</v>
      </c>
      <c r="I48" s="15" t="s">
        <v>27</v>
      </c>
      <c r="J48" s="15" t="s">
        <v>28</v>
      </c>
      <c r="K48" s="15" t="s">
        <v>203</v>
      </c>
      <c r="L48" s="15" t="s">
        <v>204</v>
      </c>
      <c r="M48" s="15" t="s">
        <v>27</v>
      </c>
      <c r="N48" s="19" t="s">
        <v>31</v>
      </c>
      <c r="O48" s="20"/>
      <c r="P48" s="21" t="str">
        <f>IFERROR(O48/O49,"")</f>
        <v/>
      </c>
      <c r="Q48" s="20"/>
      <c r="R48" s="21" t="str">
        <f>IFERROR(Q48/Q49,"")</f>
        <v/>
      </c>
      <c r="S48" s="20"/>
      <c r="T48" s="21" t="str">
        <f>IFERROR(S48/S49,"")</f>
        <v/>
      </c>
      <c r="U48" s="20"/>
      <c r="V48" s="21" t="str">
        <f>IFERROR(U48/U49,"")</f>
        <v/>
      </c>
      <c r="W48" s="20"/>
      <c r="X48" s="20"/>
    </row>
    <row r="49" ht="51" spans="1:24">
      <c r="A49" s="15" t="s">
        <v>20</v>
      </c>
      <c r="B49" s="15" t="s">
        <v>21</v>
      </c>
      <c r="C49" s="15" t="s">
        <v>22</v>
      </c>
      <c r="D49" s="15" t="s">
        <v>23</v>
      </c>
      <c r="E49" s="15"/>
      <c r="F49" s="15"/>
      <c r="G49" s="15"/>
      <c r="H49" s="15"/>
      <c r="I49" s="15"/>
      <c r="J49" s="15" t="s">
        <v>32</v>
      </c>
      <c r="K49" s="15" t="s">
        <v>33</v>
      </c>
      <c r="L49" s="15" t="s">
        <v>34</v>
      </c>
      <c r="M49" s="15" t="s">
        <v>35</v>
      </c>
      <c r="N49" s="19" t="s">
        <v>36</v>
      </c>
      <c r="O49" s="20"/>
      <c r="P49" s="21"/>
      <c r="Q49" s="20"/>
      <c r="R49" s="21"/>
      <c r="S49" s="20"/>
      <c r="T49" s="21"/>
      <c r="U49" s="20"/>
      <c r="V49" s="21"/>
      <c r="W49" s="20"/>
      <c r="X49" s="20"/>
    </row>
    <row r="50" ht="17" spans="1:24">
      <c r="A50" s="15" t="s">
        <v>20</v>
      </c>
      <c r="B50" s="15" t="s">
        <v>21</v>
      </c>
      <c r="C50" s="15" t="s">
        <v>22</v>
      </c>
      <c r="D50" s="15" t="s">
        <v>23</v>
      </c>
      <c r="E50" s="15"/>
      <c r="F50" s="15" t="s">
        <v>205</v>
      </c>
      <c r="G50" s="15" t="s">
        <v>206</v>
      </c>
      <c r="H50" s="15" t="s">
        <v>26</v>
      </c>
      <c r="I50" s="15" t="s">
        <v>27</v>
      </c>
      <c r="J50" s="15" t="s">
        <v>28</v>
      </c>
      <c r="K50" s="15" t="s">
        <v>207</v>
      </c>
      <c r="L50" s="15" t="s">
        <v>208</v>
      </c>
      <c r="M50" s="15" t="s">
        <v>27</v>
      </c>
      <c r="N50" s="19" t="s">
        <v>31</v>
      </c>
      <c r="O50" s="20"/>
      <c r="P50" s="21" t="str">
        <f>IFERROR(O50/O51,"")</f>
        <v/>
      </c>
      <c r="Q50" s="20"/>
      <c r="R50" s="21" t="str">
        <f>IFERROR(Q50/Q51,"")</f>
        <v/>
      </c>
      <c r="S50" s="20"/>
      <c r="T50" s="21" t="str">
        <f>IFERROR(S50/S51,"")</f>
        <v/>
      </c>
      <c r="U50" s="20"/>
      <c r="V50" s="21" t="str">
        <f>IFERROR(U50/U51,"")</f>
        <v/>
      </c>
      <c r="W50" s="20"/>
      <c r="X50" s="20"/>
    </row>
    <row r="51" ht="51" spans="1:24">
      <c r="A51" s="15" t="s">
        <v>20</v>
      </c>
      <c r="B51" s="15" t="s">
        <v>21</v>
      </c>
      <c r="C51" s="15" t="s">
        <v>22</v>
      </c>
      <c r="D51" s="15" t="s">
        <v>23</v>
      </c>
      <c r="E51" s="15"/>
      <c r="F51" s="15"/>
      <c r="G51" s="15"/>
      <c r="H51" s="15"/>
      <c r="I51" s="15"/>
      <c r="J51" s="15" t="s">
        <v>32</v>
      </c>
      <c r="K51" s="15" t="s">
        <v>43</v>
      </c>
      <c r="L51" s="15" t="s">
        <v>44</v>
      </c>
      <c r="M51" s="15" t="s">
        <v>35</v>
      </c>
      <c r="N51" s="19" t="s">
        <v>36</v>
      </c>
      <c r="O51" s="20"/>
      <c r="P51" s="21"/>
      <c r="Q51" s="20"/>
      <c r="R51" s="21"/>
      <c r="S51" s="20"/>
      <c r="T51" s="21"/>
      <c r="U51" s="20"/>
      <c r="V51" s="21"/>
      <c r="W51" s="20"/>
      <c r="X51" s="20"/>
    </row>
    <row r="52" ht="135" spans="1:24">
      <c r="A52" s="15" t="s">
        <v>20</v>
      </c>
      <c r="B52" s="15" t="s">
        <v>21</v>
      </c>
      <c r="C52" s="15" t="s">
        <v>22</v>
      </c>
      <c r="D52" s="15" t="s">
        <v>23</v>
      </c>
      <c r="E52" s="15"/>
      <c r="F52" s="15" t="s">
        <v>209</v>
      </c>
      <c r="G52" s="15" t="s">
        <v>210</v>
      </c>
      <c r="H52" s="15" t="s">
        <v>26</v>
      </c>
      <c r="I52" s="15" t="s">
        <v>27</v>
      </c>
      <c r="J52" s="15" t="s">
        <v>28</v>
      </c>
      <c r="K52" s="15" t="s">
        <v>211</v>
      </c>
      <c r="L52" s="15" t="s">
        <v>212</v>
      </c>
      <c r="M52" s="15" t="s">
        <v>35</v>
      </c>
      <c r="N52" s="19" t="s">
        <v>213</v>
      </c>
      <c r="O52" s="20"/>
      <c r="P52" s="21" t="str">
        <f>IFERROR(O52/O53,"")</f>
        <v/>
      </c>
      <c r="Q52" s="20">
        <v>2</v>
      </c>
      <c r="R52" s="21">
        <f>IFERROR(Q52/Q53,"")</f>
        <v>0.0229885057471264</v>
      </c>
      <c r="S52" s="20">
        <v>2</v>
      </c>
      <c r="T52" s="21">
        <f>IFERROR(S52/S53,"")</f>
        <v>0.0141843971631206</v>
      </c>
      <c r="U52" s="20"/>
      <c r="V52" s="21" t="str">
        <f>IFERROR(U52/U53,"")</f>
        <v/>
      </c>
      <c r="W52" s="20" t="s">
        <v>42</v>
      </c>
      <c r="X52" s="20"/>
    </row>
    <row r="53" ht="51" spans="1:24">
      <c r="A53" s="15" t="s">
        <v>20</v>
      </c>
      <c r="B53" s="15" t="s">
        <v>21</v>
      </c>
      <c r="C53" s="15" t="s">
        <v>22</v>
      </c>
      <c r="D53" s="15" t="s">
        <v>23</v>
      </c>
      <c r="E53" s="15"/>
      <c r="F53" s="15"/>
      <c r="G53" s="15"/>
      <c r="H53" s="15"/>
      <c r="I53" s="15"/>
      <c r="J53" s="15" t="s">
        <v>32</v>
      </c>
      <c r="K53" s="15" t="s">
        <v>33</v>
      </c>
      <c r="L53" s="15" t="s">
        <v>34</v>
      </c>
      <c r="M53" s="15" t="s">
        <v>35</v>
      </c>
      <c r="N53" s="19" t="s">
        <v>36</v>
      </c>
      <c r="O53" s="20"/>
      <c r="P53" s="21"/>
      <c r="Q53" s="20">
        <v>87</v>
      </c>
      <c r="R53" s="21"/>
      <c r="S53" s="20">
        <v>141</v>
      </c>
      <c r="T53" s="21"/>
      <c r="U53" s="20"/>
      <c r="V53" s="21"/>
      <c r="W53" s="20" t="s">
        <v>42</v>
      </c>
      <c r="X53" s="20"/>
    </row>
    <row r="54" ht="17" spans="1:24">
      <c r="A54" s="15" t="s">
        <v>20</v>
      </c>
      <c r="B54" s="15" t="s">
        <v>21</v>
      </c>
      <c r="C54" s="15" t="s">
        <v>22</v>
      </c>
      <c r="D54" s="15" t="s">
        <v>23</v>
      </c>
      <c r="E54" s="15"/>
      <c r="F54" s="15" t="s">
        <v>214</v>
      </c>
      <c r="G54" s="15" t="s">
        <v>215</v>
      </c>
      <c r="H54" s="15" t="s">
        <v>216</v>
      </c>
      <c r="I54" s="15" t="s">
        <v>27</v>
      </c>
      <c r="J54" s="15" t="s">
        <v>28</v>
      </c>
      <c r="K54" s="15" t="s">
        <v>217</v>
      </c>
      <c r="L54" s="15" t="s">
        <v>218</v>
      </c>
      <c r="M54" s="15" t="s">
        <v>27</v>
      </c>
      <c r="N54" s="19" t="s">
        <v>31</v>
      </c>
      <c r="O54" s="20"/>
      <c r="P54" s="21" t="str">
        <f>IFERROR(O54/O55,"")</f>
        <v/>
      </c>
      <c r="Q54" s="20"/>
      <c r="R54" s="21" t="str">
        <f>IFERROR(Q54/Q55,"")</f>
        <v/>
      </c>
      <c r="S54" s="20"/>
      <c r="T54" s="21" t="str">
        <f>IFERROR(S54/S55,"")</f>
        <v/>
      </c>
      <c r="U54" s="20"/>
      <c r="V54" s="21" t="str">
        <f>IFERROR(U54/U55,"")</f>
        <v/>
      </c>
      <c r="W54" s="20"/>
      <c r="X54" s="20"/>
    </row>
    <row r="55" ht="51" spans="1:24">
      <c r="A55" s="15" t="s">
        <v>20</v>
      </c>
      <c r="B55" s="15" t="s">
        <v>21</v>
      </c>
      <c r="C55" s="15" t="s">
        <v>22</v>
      </c>
      <c r="D55" s="15" t="s">
        <v>23</v>
      </c>
      <c r="E55" s="15"/>
      <c r="F55" s="15"/>
      <c r="G55" s="15"/>
      <c r="H55" s="15"/>
      <c r="I55" s="15"/>
      <c r="J55" s="15" t="s">
        <v>32</v>
      </c>
      <c r="K55" s="15" t="s">
        <v>33</v>
      </c>
      <c r="L55" s="15" t="s">
        <v>34</v>
      </c>
      <c r="M55" s="15" t="s">
        <v>35</v>
      </c>
      <c r="N55" s="19" t="s">
        <v>36</v>
      </c>
      <c r="O55" s="20"/>
      <c r="P55" s="21"/>
      <c r="Q55" s="20"/>
      <c r="R55" s="21"/>
      <c r="S55" s="20"/>
      <c r="T55" s="21"/>
      <c r="U55" s="20"/>
      <c r="V55" s="21"/>
      <c r="W55" s="20"/>
      <c r="X55" s="20"/>
    </row>
    <row r="56" ht="17" spans="1:24">
      <c r="A56" s="15" t="s">
        <v>20</v>
      </c>
      <c r="B56" s="15" t="s">
        <v>21</v>
      </c>
      <c r="C56" s="15" t="s">
        <v>22</v>
      </c>
      <c r="D56" s="15" t="s">
        <v>23</v>
      </c>
      <c r="E56" s="15"/>
      <c r="F56" s="15" t="s">
        <v>219</v>
      </c>
      <c r="G56" s="15" t="s">
        <v>220</v>
      </c>
      <c r="H56" s="15" t="s">
        <v>26</v>
      </c>
      <c r="I56" s="15" t="s">
        <v>27</v>
      </c>
      <c r="J56" s="15" t="s">
        <v>28</v>
      </c>
      <c r="K56" s="15" t="s">
        <v>221</v>
      </c>
      <c r="L56" s="15" t="s">
        <v>222</v>
      </c>
      <c r="M56" s="15" t="s">
        <v>27</v>
      </c>
      <c r="N56" s="19" t="s">
        <v>31</v>
      </c>
      <c r="O56" s="20"/>
      <c r="P56" s="21" t="str">
        <f>IFERROR(O56/O57,"")</f>
        <v/>
      </c>
      <c r="Q56" s="20"/>
      <c r="R56" s="21" t="str">
        <f>IFERROR(Q56/Q57,"")</f>
        <v/>
      </c>
      <c r="S56" s="20"/>
      <c r="T56" s="21" t="str">
        <f>IFERROR(S56/S57,"")</f>
        <v/>
      </c>
      <c r="U56" s="20"/>
      <c r="V56" s="21" t="str">
        <f>IFERROR(U56/U57,"")</f>
        <v/>
      </c>
      <c r="W56" s="20"/>
      <c r="X56" s="20"/>
    </row>
    <row r="57" ht="51" spans="1:24">
      <c r="A57" s="15" t="s">
        <v>20</v>
      </c>
      <c r="B57" s="15" t="s">
        <v>21</v>
      </c>
      <c r="C57" s="15" t="s">
        <v>22</v>
      </c>
      <c r="D57" s="15" t="s">
        <v>23</v>
      </c>
      <c r="E57" s="15"/>
      <c r="F57" s="15"/>
      <c r="G57" s="15"/>
      <c r="H57" s="15"/>
      <c r="I57" s="15"/>
      <c r="J57" s="15" t="s">
        <v>32</v>
      </c>
      <c r="K57" s="15" t="s">
        <v>223</v>
      </c>
      <c r="L57" s="15" t="s">
        <v>224</v>
      </c>
      <c r="M57" s="15" t="s">
        <v>35</v>
      </c>
      <c r="N57" s="19" t="s">
        <v>225</v>
      </c>
      <c r="O57" s="20"/>
      <c r="P57" s="21"/>
      <c r="Q57" s="20"/>
      <c r="R57" s="21"/>
      <c r="S57" s="20"/>
      <c r="T57" s="21"/>
      <c r="U57" s="20"/>
      <c r="V57" s="21"/>
      <c r="W57" s="20"/>
      <c r="X57" s="20"/>
    </row>
    <row r="58" ht="84" spans="1:24">
      <c r="A58" s="15" t="s">
        <v>20</v>
      </c>
      <c r="B58" s="15" t="s">
        <v>21</v>
      </c>
      <c r="C58" s="15" t="s">
        <v>22</v>
      </c>
      <c r="D58" s="15" t="s">
        <v>23</v>
      </c>
      <c r="E58" s="15"/>
      <c r="F58" s="15" t="s">
        <v>226</v>
      </c>
      <c r="G58" s="15" t="s">
        <v>227</v>
      </c>
      <c r="H58" s="15" t="s">
        <v>26</v>
      </c>
      <c r="I58" s="15" t="s">
        <v>27</v>
      </c>
      <c r="J58" s="15" t="s">
        <v>28</v>
      </c>
      <c r="K58" s="15" t="s">
        <v>228</v>
      </c>
      <c r="L58" s="15" t="s">
        <v>229</v>
      </c>
      <c r="M58" s="15" t="s">
        <v>35</v>
      </c>
      <c r="N58" s="19" t="s">
        <v>230</v>
      </c>
      <c r="O58" s="20"/>
      <c r="P58" s="21" t="str">
        <f>IFERROR(O58/O59,"")</f>
        <v/>
      </c>
      <c r="Q58" s="20"/>
      <c r="R58" s="21" t="str">
        <f>IFERROR(Q58/Q59,"")</f>
        <v/>
      </c>
      <c r="S58" s="20"/>
      <c r="T58" s="21" t="str">
        <f>IFERROR(S58/S59,"")</f>
        <v/>
      </c>
      <c r="U58" s="20"/>
      <c r="V58" s="21" t="str">
        <f>IFERROR(U58/U59,"")</f>
        <v/>
      </c>
      <c r="W58" s="20"/>
      <c r="X58" s="20"/>
    </row>
    <row r="59" ht="84" spans="1:24">
      <c r="A59" s="15" t="s">
        <v>20</v>
      </c>
      <c r="B59" s="15" t="s">
        <v>21</v>
      </c>
      <c r="C59" s="15" t="s">
        <v>22</v>
      </c>
      <c r="D59" s="15" t="s">
        <v>23</v>
      </c>
      <c r="E59" s="15"/>
      <c r="F59" s="15"/>
      <c r="G59" s="15"/>
      <c r="H59" s="15"/>
      <c r="I59" s="15"/>
      <c r="J59" s="15" t="s">
        <v>32</v>
      </c>
      <c r="K59" s="15" t="s">
        <v>231</v>
      </c>
      <c r="L59" s="15" t="s">
        <v>232</v>
      </c>
      <c r="M59" s="15" t="s">
        <v>35</v>
      </c>
      <c r="N59" s="19" t="s">
        <v>233</v>
      </c>
      <c r="O59" s="20"/>
      <c r="P59" s="21"/>
      <c r="Q59" s="20"/>
      <c r="R59" s="21"/>
      <c r="S59" s="20"/>
      <c r="T59" s="21"/>
      <c r="U59" s="20"/>
      <c r="V59" s="21"/>
      <c r="W59" s="20"/>
      <c r="X59" s="20"/>
    </row>
    <row r="60" ht="17" spans="1:24">
      <c r="A60" s="15" t="s">
        <v>20</v>
      </c>
      <c r="B60" s="15" t="s">
        <v>21</v>
      </c>
      <c r="C60" s="15" t="s">
        <v>22</v>
      </c>
      <c r="D60" s="15" t="s">
        <v>23</v>
      </c>
      <c r="E60" s="15"/>
      <c r="F60" s="15" t="s">
        <v>234</v>
      </c>
      <c r="G60" s="15" t="s">
        <v>235</v>
      </c>
      <c r="H60" s="15" t="s">
        <v>26</v>
      </c>
      <c r="I60" s="15" t="s">
        <v>27</v>
      </c>
      <c r="J60" s="15" t="s">
        <v>28</v>
      </c>
      <c r="K60" s="15" t="s">
        <v>236</v>
      </c>
      <c r="L60" s="15" t="s">
        <v>237</v>
      </c>
      <c r="M60" s="15" t="s">
        <v>27</v>
      </c>
      <c r="N60" s="19" t="s">
        <v>31</v>
      </c>
      <c r="O60" s="20"/>
      <c r="P60" s="21" t="str">
        <f>IFERROR(O60/O61,"")</f>
        <v/>
      </c>
      <c r="Q60" s="20"/>
      <c r="R60" s="21" t="str">
        <f>IFERROR(Q60/Q61,"")</f>
        <v/>
      </c>
      <c r="S60" s="20"/>
      <c r="T60" s="21" t="str">
        <f>IFERROR(S60/S61,"")</f>
        <v/>
      </c>
      <c r="U60" s="20"/>
      <c r="V60" s="21" t="str">
        <f>IFERROR(U60/U61,"")</f>
        <v/>
      </c>
      <c r="W60" s="20"/>
      <c r="X60" s="20"/>
    </row>
    <row r="61" ht="84" spans="1:24">
      <c r="A61" s="15" t="s">
        <v>20</v>
      </c>
      <c r="B61" s="15" t="s">
        <v>21</v>
      </c>
      <c r="C61" s="15" t="s">
        <v>22</v>
      </c>
      <c r="D61" s="15" t="s">
        <v>23</v>
      </c>
      <c r="E61" s="15"/>
      <c r="F61" s="15"/>
      <c r="G61" s="15"/>
      <c r="H61" s="15"/>
      <c r="I61" s="15"/>
      <c r="J61" s="15" t="s">
        <v>32</v>
      </c>
      <c r="K61" s="15" t="s">
        <v>238</v>
      </c>
      <c r="L61" s="15" t="s">
        <v>239</v>
      </c>
      <c r="M61" s="15" t="s">
        <v>35</v>
      </c>
      <c r="N61" s="19" t="s">
        <v>97</v>
      </c>
      <c r="O61" s="20"/>
      <c r="P61" s="21"/>
      <c r="Q61" s="20"/>
      <c r="R61" s="21"/>
      <c r="S61" s="20"/>
      <c r="T61" s="21"/>
      <c r="U61" s="20"/>
      <c r="V61" s="21"/>
      <c r="W61" s="20"/>
      <c r="X61" s="20"/>
    </row>
    <row r="62" ht="17" spans="1:24">
      <c r="A62" s="15" t="s">
        <v>20</v>
      </c>
      <c r="B62" s="15" t="s">
        <v>21</v>
      </c>
      <c r="C62" s="15" t="s">
        <v>22</v>
      </c>
      <c r="D62" s="15" t="s">
        <v>23</v>
      </c>
      <c r="E62" s="15"/>
      <c r="F62" s="15" t="s">
        <v>240</v>
      </c>
      <c r="G62" s="15" t="s">
        <v>241</v>
      </c>
      <c r="H62" s="15" t="s">
        <v>26</v>
      </c>
      <c r="I62" s="15" t="s">
        <v>27</v>
      </c>
      <c r="J62" s="15" t="s">
        <v>28</v>
      </c>
      <c r="K62" s="15" t="s">
        <v>242</v>
      </c>
      <c r="L62" s="15" t="s">
        <v>243</v>
      </c>
      <c r="M62" s="15" t="s">
        <v>27</v>
      </c>
      <c r="N62" s="19" t="s">
        <v>31</v>
      </c>
      <c r="O62" s="20"/>
      <c r="P62" s="21" t="str">
        <f>IFERROR(O62/O63,"")</f>
        <v/>
      </c>
      <c r="Q62" s="20"/>
      <c r="R62" s="21" t="str">
        <f>IFERROR(Q62/Q63,"")</f>
        <v/>
      </c>
      <c r="S62" s="20"/>
      <c r="T62" s="21" t="str">
        <f>IFERROR(S62/S63,"")</f>
        <v/>
      </c>
      <c r="U62" s="20"/>
      <c r="V62" s="21" t="str">
        <f>IFERROR(U62/U63,"")</f>
        <v/>
      </c>
      <c r="W62" s="20"/>
      <c r="X62" s="20"/>
    </row>
    <row r="63" ht="17" spans="1:24">
      <c r="A63" s="15" t="s">
        <v>20</v>
      </c>
      <c r="B63" s="15" t="s">
        <v>21</v>
      </c>
      <c r="C63" s="15" t="s">
        <v>22</v>
      </c>
      <c r="D63" s="15" t="s">
        <v>23</v>
      </c>
      <c r="E63" s="15"/>
      <c r="F63" s="15"/>
      <c r="G63" s="15"/>
      <c r="H63" s="15"/>
      <c r="I63" s="15"/>
      <c r="J63" s="15" t="s">
        <v>32</v>
      </c>
      <c r="K63" s="15" t="s">
        <v>244</v>
      </c>
      <c r="L63" s="15" t="s">
        <v>245</v>
      </c>
      <c r="M63" s="15" t="s">
        <v>27</v>
      </c>
      <c r="N63" s="19" t="s">
        <v>31</v>
      </c>
      <c r="O63" s="20"/>
      <c r="P63" s="21"/>
      <c r="Q63" s="20"/>
      <c r="R63" s="21"/>
      <c r="S63" s="20"/>
      <c r="T63" s="21"/>
      <c r="U63" s="20"/>
      <c r="V63" s="21"/>
      <c r="W63" s="20"/>
      <c r="X63" s="20"/>
    </row>
    <row r="64" ht="17" spans="1:24">
      <c r="A64" s="15" t="s">
        <v>20</v>
      </c>
      <c r="B64" s="15" t="s">
        <v>21</v>
      </c>
      <c r="C64" s="15" t="s">
        <v>22</v>
      </c>
      <c r="D64" s="15" t="s">
        <v>23</v>
      </c>
      <c r="E64" s="15"/>
      <c r="F64" s="15" t="s">
        <v>246</v>
      </c>
      <c r="G64" s="15" t="s">
        <v>247</v>
      </c>
      <c r="H64" s="15" t="s">
        <v>26</v>
      </c>
      <c r="I64" s="15" t="s">
        <v>27</v>
      </c>
      <c r="J64" s="15" t="s">
        <v>28</v>
      </c>
      <c r="K64" s="15" t="s">
        <v>248</v>
      </c>
      <c r="L64" s="15" t="s">
        <v>249</v>
      </c>
      <c r="M64" s="15" t="s">
        <v>27</v>
      </c>
      <c r="N64" s="19" t="s">
        <v>31</v>
      </c>
      <c r="O64" s="20"/>
      <c r="P64" s="21" t="str">
        <f>IFERROR(O64/O65,"")</f>
        <v/>
      </c>
      <c r="Q64" s="20"/>
      <c r="R64" s="21" t="str">
        <f>IFERROR(Q64/Q65,"")</f>
        <v/>
      </c>
      <c r="S64" s="20"/>
      <c r="T64" s="21" t="str">
        <f>IFERROR(S64/S65,"")</f>
        <v/>
      </c>
      <c r="U64" s="20"/>
      <c r="V64" s="21" t="str">
        <f>IFERROR(U64/U65,"")</f>
        <v/>
      </c>
      <c r="W64" s="20"/>
      <c r="X64" s="20"/>
    </row>
    <row r="65" ht="51" spans="1:24">
      <c r="A65" s="15" t="s">
        <v>20</v>
      </c>
      <c r="B65" s="15" t="s">
        <v>21</v>
      </c>
      <c r="C65" s="15" t="s">
        <v>22</v>
      </c>
      <c r="D65" s="15" t="s">
        <v>23</v>
      </c>
      <c r="E65" s="15"/>
      <c r="F65" s="15"/>
      <c r="G65" s="15"/>
      <c r="H65" s="15"/>
      <c r="I65" s="15"/>
      <c r="J65" s="15" t="s">
        <v>32</v>
      </c>
      <c r="K65" s="15" t="s">
        <v>33</v>
      </c>
      <c r="L65" s="15" t="s">
        <v>34</v>
      </c>
      <c r="M65" s="15" t="s">
        <v>35</v>
      </c>
      <c r="N65" s="19" t="s">
        <v>36</v>
      </c>
      <c r="O65" s="20"/>
      <c r="P65" s="21"/>
      <c r="Q65" s="20"/>
      <c r="R65" s="21"/>
      <c r="S65" s="20"/>
      <c r="T65" s="21"/>
      <c r="U65" s="20"/>
      <c r="V65" s="21"/>
      <c r="W65" s="20"/>
      <c r="X65" s="20"/>
    </row>
    <row r="66" ht="17" spans="1:24">
      <c r="A66" s="15" t="s">
        <v>20</v>
      </c>
      <c r="B66" s="15" t="s">
        <v>21</v>
      </c>
      <c r="C66" s="15" t="s">
        <v>22</v>
      </c>
      <c r="D66" s="15" t="s">
        <v>23</v>
      </c>
      <c r="E66" s="15"/>
      <c r="F66" s="15" t="s">
        <v>250</v>
      </c>
      <c r="G66" s="15" t="s">
        <v>251</v>
      </c>
      <c r="H66" s="15" t="s">
        <v>26</v>
      </c>
      <c r="I66" s="15" t="s">
        <v>27</v>
      </c>
      <c r="J66" s="15" t="s">
        <v>28</v>
      </c>
      <c r="K66" s="15" t="s">
        <v>252</v>
      </c>
      <c r="L66" s="15" t="s">
        <v>253</v>
      </c>
      <c r="M66" s="15" t="s">
        <v>27</v>
      </c>
      <c r="N66" s="19" t="s">
        <v>31</v>
      </c>
      <c r="O66" s="20"/>
      <c r="P66" s="21" t="str">
        <f>IFERROR(O66/O67,"")</f>
        <v/>
      </c>
      <c r="Q66" s="20"/>
      <c r="R66" s="21" t="str">
        <f>IFERROR(Q66/Q67,"")</f>
        <v/>
      </c>
      <c r="S66" s="20"/>
      <c r="T66" s="21" t="str">
        <f>IFERROR(S66/S67,"")</f>
        <v/>
      </c>
      <c r="U66" s="20"/>
      <c r="V66" s="21" t="str">
        <f>IFERROR(U66/U67,"")</f>
        <v/>
      </c>
      <c r="W66" s="20"/>
      <c r="X66" s="20"/>
    </row>
    <row r="67" ht="17" spans="1:24">
      <c r="A67" s="15" t="s">
        <v>20</v>
      </c>
      <c r="B67" s="15" t="s">
        <v>21</v>
      </c>
      <c r="C67" s="15" t="s">
        <v>22</v>
      </c>
      <c r="D67" s="15" t="s">
        <v>23</v>
      </c>
      <c r="E67" s="15"/>
      <c r="F67" s="15"/>
      <c r="G67" s="15"/>
      <c r="H67" s="15"/>
      <c r="I67" s="15"/>
      <c r="J67" s="15" t="s">
        <v>32</v>
      </c>
      <c r="K67" s="15" t="s">
        <v>254</v>
      </c>
      <c r="L67" s="15" t="s">
        <v>255</v>
      </c>
      <c r="M67" s="15" t="s">
        <v>27</v>
      </c>
      <c r="N67" s="19" t="s">
        <v>31</v>
      </c>
      <c r="O67" s="20"/>
      <c r="P67" s="21"/>
      <c r="Q67" s="20"/>
      <c r="R67" s="21"/>
      <c r="S67" s="20"/>
      <c r="T67" s="21"/>
      <c r="U67" s="20"/>
      <c r="V67" s="21"/>
      <c r="W67" s="20"/>
      <c r="X67" s="20"/>
    </row>
    <row r="68" ht="17" spans="1:24">
      <c r="A68" s="15" t="s">
        <v>20</v>
      </c>
      <c r="B68" s="15" t="s">
        <v>21</v>
      </c>
      <c r="C68" s="15" t="s">
        <v>22</v>
      </c>
      <c r="D68" s="15" t="s">
        <v>23</v>
      </c>
      <c r="E68" s="15"/>
      <c r="F68" s="15" t="s">
        <v>256</v>
      </c>
      <c r="G68" s="15" t="s">
        <v>257</v>
      </c>
      <c r="H68" s="15" t="s">
        <v>26</v>
      </c>
      <c r="I68" s="15" t="s">
        <v>27</v>
      </c>
      <c r="J68" s="15" t="s">
        <v>28</v>
      </c>
      <c r="K68" s="15" t="s">
        <v>258</v>
      </c>
      <c r="L68" s="15" t="s">
        <v>259</v>
      </c>
      <c r="M68" s="15" t="s">
        <v>27</v>
      </c>
      <c r="N68" s="19" t="s">
        <v>31</v>
      </c>
      <c r="O68" s="20"/>
      <c r="P68" s="21" t="str">
        <f>IFERROR(O68/O69,"")</f>
        <v/>
      </c>
      <c r="Q68" s="20"/>
      <c r="R68" s="21" t="str">
        <f>IFERROR(Q68/Q69,"")</f>
        <v/>
      </c>
      <c r="S68" s="20"/>
      <c r="T68" s="21" t="str">
        <f>IFERROR(S68/S69,"")</f>
        <v/>
      </c>
      <c r="U68" s="20"/>
      <c r="V68" s="21" t="str">
        <f>IFERROR(U68/U69,"")</f>
        <v/>
      </c>
      <c r="W68" s="20"/>
      <c r="X68" s="20"/>
    </row>
    <row r="69" ht="17" spans="1:24">
      <c r="A69" s="15" t="s">
        <v>20</v>
      </c>
      <c r="B69" s="15" t="s">
        <v>21</v>
      </c>
      <c r="C69" s="15" t="s">
        <v>22</v>
      </c>
      <c r="D69" s="15" t="s">
        <v>23</v>
      </c>
      <c r="E69" s="15"/>
      <c r="F69" s="15"/>
      <c r="G69" s="15"/>
      <c r="H69" s="15"/>
      <c r="I69" s="15"/>
      <c r="J69" s="15" t="s">
        <v>32</v>
      </c>
      <c r="K69" s="15" t="s">
        <v>254</v>
      </c>
      <c r="L69" s="15" t="s">
        <v>255</v>
      </c>
      <c r="M69" s="15" t="s">
        <v>27</v>
      </c>
      <c r="N69" s="19" t="s">
        <v>31</v>
      </c>
      <c r="O69" s="20"/>
      <c r="P69" s="21"/>
      <c r="Q69" s="20"/>
      <c r="R69" s="21"/>
      <c r="S69" s="20"/>
      <c r="T69" s="21"/>
      <c r="U69" s="20"/>
      <c r="V69" s="21"/>
      <c r="W69" s="20"/>
      <c r="X69" s="20"/>
    </row>
    <row r="70" ht="17" spans="1:24">
      <c r="A70" s="15" t="s">
        <v>20</v>
      </c>
      <c r="B70" s="15" t="s">
        <v>21</v>
      </c>
      <c r="C70" s="15" t="s">
        <v>22</v>
      </c>
      <c r="D70" s="15" t="s">
        <v>23</v>
      </c>
      <c r="E70" s="15"/>
      <c r="F70" s="15" t="s">
        <v>260</v>
      </c>
      <c r="G70" s="15" t="s">
        <v>261</v>
      </c>
      <c r="H70" s="15" t="s">
        <v>26</v>
      </c>
      <c r="I70" s="15" t="s">
        <v>27</v>
      </c>
      <c r="J70" s="15" t="s">
        <v>28</v>
      </c>
      <c r="K70" s="15" t="s">
        <v>262</v>
      </c>
      <c r="L70" s="15" t="s">
        <v>263</v>
      </c>
      <c r="M70" s="15" t="s">
        <v>27</v>
      </c>
      <c r="N70" s="19" t="s">
        <v>31</v>
      </c>
      <c r="O70" s="20"/>
      <c r="P70" s="21" t="str">
        <f>IFERROR(O70/O71,"")</f>
        <v/>
      </c>
      <c r="Q70" s="20"/>
      <c r="R70" s="21" t="str">
        <f>IFERROR(Q70/Q71,"")</f>
        <v/>
      </c>
      <c r="S70" s="20"/>
      <c r="T70" s="21" t="str">
        <f>IFERROR(S70/S71,"")</f>
        <v/>
      </c>
      <c r="U70" s="20"/>
      <c r="V70" s="21" t="str">
        <f>IFERROR(U70/U71,"")</f>
        <v/>
      </c>
      <c r="W70" s="20"/>
      <c r="X70" s="20"/>
    </row>
    <row r="71" ht="17" spans="1:24">
      <c r="A71" s="15" t="s">
        <v>20</v>
      </c>
      <c r="B71" s="15" t="s">
        <v>21</v>
      </c>
      <c r="C71" s="15" t="s">
        <v>22</v>
      </c>
      <c r="D71" s="15" t="s">
        <v>23</v>
      </c>
      <c r="E71" s="15"/>
      <c r="F71" s="15"/>
      <c r="G71" s="15"/>
      <c r="H71" s="15"/>
      <c r="I71" s="15"/>
      <c r="J71" s="15" t="s">
        <v>32</v>
      </c>
      <c r="K71" s="15" t="s">
        <v>254</v>
      </c>
      <c r="L71" s="15" t="s">
        <v>255</v>
      </c>
      <c r="M71" s="15" t="s">
        <v>27</v>
      </c>
      <c r="N71" s="19" t="s">
        <v>31</v>
      </c>
      <c r="O71" s="20"/>
      <c r="P71" s="21"/>
      <c r="Q71" s="20"/>
      <c r="R71" s="21"/>
      <c r="S71" s="20"/>
      <c r="T71" s="21"/>
      <c r="U71" s="20"/>
      <c r="V71" s="21"/>
      <c r="W71" s="20"/>
      <c r="X71" s="20"/>
    </row>
  </sheetData>
  <mergeCells count="459">
    <mergeCell ref="O1:P1"/>
    <mergeCell ref="Q1:R1"/>
    <mergeCell ref="S1:T1"/>
    <mergeCell ref="U1:V1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  <mergeCell ref="R70:R71"/>
    <mergeCell ref="T2:T3"/>
    <mergeCell ref="T4:T5"/>
    <mergeCell ref="T6:T7"/>
    <mergeCell ref="T8:T9"/>
    <mergeCell ref="T10:T11"/>
    <mergeCell ref="T12:T13"/>
    <mergeCell ref="T14:T15"/>
    <mergeCell ref="T16:T17"/>
    <mergeCell ref="T18:T19"/>
    <mergeCell ref="T20:T21"/>
    <mergeCell ref="T22:T23"/>
    <mergeCell ref="T24:T25"/>
    <mergeCell ref="T26:T27"/>
    <mergeCell ref="T28:T29"/>
    <mergeCell ref="T30:T31"/>
    <mergeCell ref="T32:T33"/>
    <mergeCell ref="T34:T35"/>
    <mergeCell ref="T36:T37"/>
    <mergeCell ref="T38:T39"/>
    <mergeCell ref="T40:T41"/>
    <mergeCell ref="T42:T43"/>
    <mergeCell ref="T44:T45"/>
    <mergeCell ref="T46:T47"/>
    <mergeCell ref="T48:T49"/>
    <mergeCell ref="T50:T51"/>
    <mergeCell ref="T52:T53"/>
    <mergeCell ref="T54:T55"/>
    <mergeCell ref="T56:T57"/>
    <mergeCell ref="T58:T59"/>
    <mergeCell ref="T60:T61"/>
    <mergeCell ref="T62:T63"/>
    <mergeCell ref="T64:T65"/>
    <mergeCell ref="T66:T67"/>
    <mergeCell ref="T68:T69"/>
    <mergeCell ref="T70:T71"/>
    <mergeCell ref="V2:V3"/>
    <mergeCell ref="V4:V5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V30:V31"/>
    <mergeCell ref="V32:V33"/>
    <mergeCell ref="V34:V35"/>
    <mergeCell ref="V36:V37"/>
    <mergeCell ref="V38:V39"/>
    <mergeCell ref="V40:V41"/>
    <mergeCell ref="V42:V43"/>
    <mergeCell ref="V44:V45"/>
    <mergeCell ref="V46:V47"/>
    <mergeCell ref="V48:V49"/>
    <mergeCell ref="V50:V51"/>
    <mergeCell ref="V52:V53"/>
    <mergeCell ref="V54:V55"/>
    <mergeCell ref="V56:V57"/>
    <mergeCell ref="V58:V59"/>
    <mergeCell ref="V60:V61"/>
    <mergeCell ref="V62:V63"/>
    <mergeCell ref="V64:V65"/>
    <mergeCell ref="V66:V67"/>
    <mergeCell ref="V68:V69"/>
    <mergeCell ref="V70:V7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1"/>
  <sheetViews>
    <sheetView topLeftCell="C1" workbookViewId="0">
      <selection activeCell="J8" sqref="J8"/>
    </sheetView>
  </sheetViews>
  <sheetFormatPr defaultColWidth="9" defaultRowHeight="16.8" outlineLevelCol="5"/>
  <cols>
    <col min="1" max="1" width="9.25" style="1" customWidth="1"/>
    <col min="2" max="2" width="49.4423076923077" style="1" customWidth="1"/>
    <col min="3" max="3" width="13.1634615384615" style="1" customWidth="1"/>
    <col min="4" max="4" width="21.1057692307692" style="1" customWidth="1"/>
    <col min="5" max="5" width="38.8365384615385" style="1" customWidth="1"/>
    <col min="6" max="6" width="9.02884615384615" style="1" customWidth="1"/>
    <col min="7" max="16384" width="9" style="1"/>
  </cols>
  <sheetData>
    <row r="1" spans="1:6">
      <c r="A1" s="2" t="s">
        <v>264</v>
      </c>
      <c r="B1" s="2" t="s">
        <v>265</v>
      </c>
      <c r="C1" s="2" t="s">
        <v>266</v>
      </c>
      <c r="D1" s="2" t="s">
        <v>10</v>
      </c>
      <c r="E1" s="2" t="s">
        <v>11</v>
      </c>
      <c r="F1" s="2" t="s">
        <v>19</v>
      </c>
    </row>
    <row r="2" spans="1:6">
      <c r="A2" s="3" t="s">
        <v>267</v>
      </c>
      <c r="B2" s="3" t="s">
        <v>268</v>
      </c>
      <c r="C2" s="3" t="s">
        <v>269</v>
      </c>
      <c r="D2" s="4">
        <v>55.31</v>
      </c>
      <c r="E2" s="3" t="s">
        <v>270</v>
      </c>
      <c r="F2" s="3"/>
    </row>
    <row r="3" spans="1:6">
      <c r="A3" s="3" t="s">
        <v>267</v>
      </c>
      <c r="B3" s="3" t="s">
        <v>268</v>
      </c>
      <c r="C3" s="3" t="s">
        <v>269</v>
      </c>
      <c r="D3" s="4" t="s">
        <v>271</v>
      </c>
      <c r="E3" s="3" t="s">
        <v>272</v>
      </c>
      <c r="F3" s="3"/>
    </row>
    <row r="4" spans="1:6">
      <c r="A4" s="3" t="s">
        <v>267</v>
      </c>
      <c r="B4" s="3" t="s">
        <v>268</v>
      </c>
      <c r="C4" s="3" t="s">
        <v>269</v>
      </c>
      <c r="D4" s="4" t="s">
        <v>273</v>
      </c>
      <c r="E4" s="3" t="s">
        <v>274</v>
      </c>
      <c r="F4" s="3"/>
    </row>
    <row r="5" spans="1:6">
      <c r="A5" s="3" t="s">
        <v>267</v>
      </c>
      <c r="B5" s="3" t="s">
        <v>268</v>
      </c>
      <c r="C5" s="3" t="s">
        <v>269</v>
      </c>
      <c r="D5" s="4" t="s">
        <v>275</v>
      </c>
      <c r="E5" s="3" t="s">
        <v>276</v>
      </c>
      <c r="F5" s="3"/>
    </row>
    <row r="6" spans="1:6">
      <c r="A6" s="3" t="s">
        <v>267</v>
      </c>
      <c r="B6" s="3" t="s">
        <v>268</v>
      </c>
      <c r="C6" s="3" t="s">
        <v>269</v>
      </c>
      <c r="D6" s="4" t="s">
        <v>277</v>
      </c>
      <c r="E6" s="3" t="s">
        <v>278</v>
      </c>
      <c r="F6" s="3"/>
    </row>
    <row r="7" spans="1:6">
      <c r="A7" s="3" t="s">
        <v>267</v>
      </c>
      <c r="B7" s="3" t="s">
        <v>268</v>
      </c>
      <c r="C7" s="3" t="s">
        <v>269</v>
      </c>
      <c r="D7" s="4" t="s">
        <v>279</v>
      </c>
      <c r="E7" s="3" t="s">
        <v>280</v>
      </c>
      <c r="F7" s="3"/>
    </row>
    <row r="8" spans="1:6">
      <c r="A8" s="3" t="s">
        <v>267</v>
      </c>
      <c r="B8" s="3" t="s">
        <v>268</v>
      </c>
      <c r="C8" s="3" t="s">
        <v>269</v>
      </c>
      <c r="D8" s="4" t="s">
        <v>281</v>
      </c>
      <c r="E8" s="3" t="s">
        <v>282</v>
      </c>
      <c r="F8" s="3"/>
    </row>
    <row r="9" spans="1:6">
      <c r="A9" s="3" t="s">
        <v>267</v>
      </c>
      <c r="B9" s="3" t="s">
        <v>268</v>
      </c>
      <c r="C9" s="3" t="s">
        <v>269</v>
      </c>
      <c r="D9" s="4" t="s">
        <v>283</v>
      </c>
      <c r="E9" s="3" t="s">
        <v>284</v>
      </c>
      <c r="F9" s="3"/>
    </row>
    <row r="10" spans="1:6">
      <c r="A10" s="3" t="s">
        <v>267</v>
      </c>
      <c r="B10" s="3" t="s">
        <v>268</v>
      </c>
      <c r="C10" s="3" t="s">
        <v>269</v>
      </c>
      <c r="D10" s="4" t="s">
        <v>285</v>
      </c>
      <c r="E10" s="3" t="s">
        <v>286</v>
      </c>
      <c r="F10" s="3"/>
    </row>
    <row r="11" spans="1:6">
      <c r="A11" s="3" t="s">
        <v>267</v>
      </c>
      <c r="B11" s="3" t="s">
        <v>268</v>
      </c>
      <c r="C11" s="3" t="s">
        <v>269</v>
      </c>
      <c r="D11" s="4" t="s">
        <v>287</v>
      </c>
      <c r="E11" s="3" t="s">
        <v>288</v>
      </c>
      <c r="F11" s="3"/>
    </row>
    <row r="12" spans="1:6">
      <c r="A12" s="3" t="s">
        <v>267</v>
      </c>
      <c r="B12" s="3" t="s">
        <v>268</v>
      </c>
      <c r="C12" s="3" t="s">
        <v>269</v>
      </c>
      <c r="D12" s="4" t="s">
        <v>289</v>
      </c>
      <c r="E12" s="3" t="s">
        <v>290</v>
      </c>
      <c r="F12" s="3"/>
    </row>
    <row r="13" ht="17" spans="1:6">
      <c r="A13" s="3" t="s">
        <v>267</v>
      </c>
      <c r="B13" s="3" t="s">
        <v>291</v>
      </c>
      <c r="C13" s="3" t="s">
        <v>269</v>
      </c>
      <c r="D13" s="5" t="s">
        <v>292</v>
      </c>
      <c r="E13" s="8" t="s">
        <v>293</v>
      </c>
      <c r="F13" s="3"/>
    </row>
    <row r="14" ht="17" spans="1:6">
      <c r="A14" s="3" t="s">
        <v>267</v>
      </c>
      <c r="B14" s="3" t="s">
        <v>291</v>
      </c>
      <c r="C14" s="3" t="s">
        <v>269</v>
      </c>
      <c r="D14" s="5" t="s">
        <v>294</v>
      </c>
      <c r="E14" s="8" t="s">
        <v>295</v>
      </c>
      <c r="F14" s="3"/>
    </row>
    <row r="15" ht="17" spans="1:6">
      <c r="A15" s="3" t="s">
        <v>267</v>
      </c>
      <c r="B15" s="3" t="s">
        <v>291</v>
      </c>
      <c r="C15" s="3" t="s">
        <v>269</v>
      </c>
      <c r="D15" s="5" t="s">
        <v>296</v>
      </c>
      <c r="E15" s="8" t="s">
        <v>297</v>
      </c>
      <c r="F15" s="3"/>
    </row>
    <row r="16" ht="17" spans="1:6">
      <c r="A16" s="3" t="s">
        <v>267</v>
      </c>
      <c r="B16" s="3" t="s">
        <v>291</v>
      </c>
      <c r="C16" s="3" t="s">
        <v>269</v>
      </c>
      <c r="D16" s="5" t="s">
        <v>298</v>
      </c>
      <c r="E16" s="8" t="s">
        <v>299</v>
      </c>
      <c r="F16" s="3"/>
    </row>
    <row r="17" ht="17" spans="1:6">
      <c r="A17" s="3" t="s">
        <v>267</v>
      </c>
      <c r="B17" s="3" t="s">
        <v>291</v>
      </c>
      <c r="C17" s="3" t="s">
        <v>269</v>
      </c>
      <c r="D17" s="5" t="s">
        <v>300</v>
      </c>
      <c r="E17" s="8" t="s">
        <v>301</v>
      </c>
      <c r="F17" s="3"/>
    </row>
    <row r="18" ht="17" spans="1:6">
      <c r="A18" s="3" t="s">
        <v>267</v>
      </c>
      <c r="B18" s="3" t="s">
        <v>291</v>
      </c>
      <c r="C18" s="3" t="s">
        <v>269</v>
      </c>
      <c r="D18" s="5" t="s">
        <v>302</v>
      </c>
      <c r="E18" s="8" t="s">
        <v>303</v>
      </c>
      <c r="F18" s="3"/>
    </row>
    <row r="19" ht="17" spans="1:6">
      <c r="A19" s="3" t="s">
        <v>267</v>
      </c>
      <c r="B19" s="3" t="s">
        <v>291</v>
      </c>
      <c r="C19" s="3" t="s">
        <v>269</v>
      </c>
      <c r="D19" s="5" t="s">
        <v>304</v>
      </c>
      <c r="E19" s="8" t="s">
        <v>305</v>
      </c>
      <c r="F19" s="3"/>
    </row>
    <row r="20" ht="17" spans="1:6">
      <c r="A20" s="3" t="s">
        <v>267</v>
      </c>
      <c r="B20" s="3" t="s">
        <v>291</v>
      </c>
      <c r="C20" s="3" t="s">
        <v>269</v>
      </c>
      <c r="D20" s="5" t="s">
        <v>306</v>
      </c>
      <c r="E20" s="8" t="s">
        <v>307</v>
      </c>
      <c r="F20" s="3"/>
    </row>
    <row r="21" ht="17" spans="1:6">
      <c r="A21" s="3" t="s">
        <v>267</v>
      </c>
      <c r="B21" s="3" t="s">
        <v>308</v>
      </c>
      <c r="C21" s="3" t="s">
        <v>269</v>
      </c>
      <c r="D21" s="5" t="s">
        <v>309</v>
      </c>
      <c r="E21" s="8" t="s">
        <v>310</v>
      </c>
      <c r="F21" s="3"/>
    </row>
    <row r="22" ht="17" spans="1:6">
      <c r="A22" s="3" t="s">
        <v>267</v>
      </c>
      <c r="B22" s="3" t="s">
        <v>308</v>
      </c>
      <c r="C22" s="3" t="s">
        <v>269</v>
      </c>
      <c r="D22" s="5" t="s">
        <v>311</v>
      </c>
      <c r="E22" s="8" t="s">
        <v>312</v>
      </c>
      <c r="F22" s="3"/>
    </row>
    <row r="23" ht="17" spans="1:6">
      <c r="A23" s="3" t="s">
        <v>267</v>
      </c>
      <c r="B23" s="3" t="s">
        <v>308</v>
      </c>
      <c r="C23" s="3" t="s">
        <v>269</v>
      </c>
      <c r="D23" s="5" t="s">
        <v>313</v>
      </c>
      <c r="E23" s="8" t="s">
        <v>314</v>
      </c>
      <c r="F23" s="3"/>
    </row>
    <row r="24" ht="17" spans="1:6">
      <c r="A24" s="3" t="s">
        <v>267</v>
      </c>
      <c r="B24" s="3" t="s">
        <v>308</v>
      </c>
      <c r="C24" s="3" t="s">
        <v>269</v>
      </c>
      <c r="D24" s="5" t="s">
        <v>315</v>
      </c>
      <c r="E24" s="8" t="s">
        <v>316</v>
      </c>
      <c r="F24" s="3"/>
    </row>
    <row r="25" ht="17" spans="1:6">
      <c r="A25" s="3" t="s">
        <v>267</v>
      </c>
      <c r="B25" s="3" t="s">
        <v>317</v>
      </c>
      <c r="C25" s="3" t="s">
        <v>269</v>
      </c>
      <c r="D25" s="5" t="s">
        <v>311</v>
      </c>
      <c r="E25" s="8" t="s">
        <v>312</v>
      </c>
      <c r="F25" s="3"/>
    </row>
    <row r="26" ht="17" spans="1:6">
      <c r="A26" s="3" t="s">
        <v>267</v>
      </c>
      <c r="B26" s="3" t="s">
        <v>317</v>
      </c>
      <c r="C26" s="3" t="s">
        <v>269</v>
      </c>
      <c r="D26" s="5" t="s">
        <v>318</v>
      </c>
      <c r="E26" s="8" t="s">
        <v>319</v>
      </c>
      <c r="F26" s="3"/>
    </row>
    <row r="27" ht="17" spans="1:6">
      <c r="A27" s="3" t="s">
        <v>267</v>
      </c>
      <c r="B27" s="3" t="s">
        <v>317</v>
      </c>
      <c r="C27" s="3" t="s">
        <v>269</v>
      </c>
      <c r="D27" s="5" t="s">
        <v>320</v>
      </c>
      <c r="E27" s="8" t="s">
        <v>321</v>
      </c>
      <c r="F27" s="3"/>
    </row>
    <row r="28" ht="17" spans="1:6">
      <c r="A28" s="3" t="s">
        <v>267</v>
      </c>
      <c r="B28" s="3" t="s">
        <v>317</v>
      </c>
      <c r="C28" s="3" t="s">
        <v>269</v>
      </c>
      <c r="D28" s="5" t="s">
        <v>322</v>
      </c>
      <c r="E28" s="8" t="s">
        <v>317</v>
      </c>
      <c r="F28" s="3"/>
    </row>
    <row r="29" ht="17" spans="1:6">
      <c r="A29" s="3" t="s">
        <v>267</v>
      </c>
      <c r="B29" s="3" t="s">
        <v>317</v>
      </c>
      <c r="C29" s="3" t="s">
        <v>269</v>
      </c>
      <c r="D29" s="5" t="s">
        <v>323</v>
      </c>
      <c r="E29" s="8" t="s">
        <v>324</v>
      </c>
      <c r="F29" s="3"/>
    </row>
    <row r="30" ht="17" spans="1:6">
      <c r="A30" s="3" t="s">
        <v>267</v>
      </c>
      <c r="B30" s="3" t="s">
        <v>317</v>
      </c>
      <c r="C30" s="3" t="s">
        <v>269</v>
      </c>
      <c r="D30" s="5" t="s">
        <v>325</v>
      </c>
      <c r="E30" s="8" t="s">
        <v>326</v>
      </c>
      <c r="F30" s="3"/>
    </row>
    <row r="31" ht="17" spans="1:6">
      <c r="A31" s="3" t="s">
        <v>267</v>
      </c>
      <c r="B31" s="3" t="s">
        <v>317</v>
      </c>
      <c r="C31" s="3" t="s">
        <v>269</v>
      </c>
      <c r="D31" s="5" t="s">
        <v>327</v>
      </c>
      <c r="E31" s="8" t="s">
        <v>328</v>
      </c>
      <c r="F31" s="3"/>
    </row>
    <row r="32" ht="17" spans="1:6">
      <c r="A32" s="3" t="s">
        <v>267</v>
      </c>
      <c r="B32" s="3" t="s">
        <v>317</v>
      </c>
      <c r="C32" s="3" t="s">
        <v>269</v>
      </c>
      <c r="D32" s="5" t="s">
        <v>329</v>
      </c>
      <c r="E32" s="8" t="s">
        <v>330</v>
      </c>
      <c r="F32" s="3"/>
    </row>
    <row r="33" ht="17" spans="1:6">
      <c r="A33" s="3" t="s">
        <v>267</v>
      </c>
      <c r="B33" s="3" t="s">
        <v>317</v>
      </c>
      <c r="C33" s="3" t="s">
        <v>269</v>
      </c>
      <c r="D33" s="5" t="s">
        <v>331</v>
      </c>
      <c r="E33" s="8" t="s">
        <v>319</v>
      </c>
      <c r="F33" s="3"/>
    </row>
    <row r="34" spans="1:6">
      <c r="A34" s="3" t="s">
        <v>267</v>
      </c>
      <c r="B34" s="3" t="s">
        <v>332</v>
      </c>
      <c r="C34" s="3" t="s">
        <v>269</v>
      </c>
      <c r="D34" s="3" t="s">
        <v>333</v>
      </c>
      <c r="E34" s="3" t="s">
        <v>334</v>
      </c>
      <c r="F34" s="3"/>
    </row>
    <row r="35" spans="1:6">
      <c r="A35" s="3" t="s">
        <v>267</v>
      </c>
      <c r="B35" s="3" t="s">
        <v>332</v>
      </c>
      <c r="C35" s="3" t="s">
        <v>269</v>
      </c>
      <c r="D35" s="3" t="s">
        <v>335</v>
      </c>
      <c r="E35" s="3" t="s">
        <v>336</v>
      </c>
      <c r="F35" s="3"/>
    </row>
    <row r="36" spans="1:6">
      <c r="A36" s="3" t="s">
        <v>267</v>
      </c>
      <c r="B36" s="3" t="s">
        <v>332</v>
      </c>
      <c r="C36" s="3" t="s">
        <v>269</v>
      </c>
      <c r="D36" s="3" t="s">
        <v>337</v>
      </c>
      <c r="E36" s="3" t="s">
        <v>338</v>
      </c>
      <c r="F36" s="3"/>
    </row>
    <row r="37" spans="1:6">
      <c r="A37" s="3" t="s">
        <v>267</v>
      </c>
      <c r="B37" s="3" t="s">
        <v>332</v>
      </c>
      <c r="C37" s="3" t="s">
        <v>269</v>
      </c>
      <c r="D37" s="3" t="s">
        <v>339</v>
      </c>
      <c r="E37" s="3" t="s">
        <v>340</v>
      </c>
      <c r="F37" s="3" t="s">
        <v>341</v>
      </c>
    </row>
    <row r="38" spans="1:6">
      <c r="A38" s="3" t="s">
        <v>267</v>
      </c>
      <c r="B38" s="3" t="s">
        <v>332</v>
      </c>
      <c r="C38" s="3" t="s">
        <v>269</v>
      </c>
      <c r="D38" s="3" t="s">
        <v>342</v>
      </c>
      <c r="E38" s="3" t="s">
        <v>343</v>
      </c>
      <c r="F38" s="3" t="s">
        <v>341</v>
      </c>
    </row>
    <row r="39" spans="1:6">
      <c r="A39" s="3" t="s">
        <v>267</v>
      </c>
      <c r="B39" s="3" t="s">
        <v>332</v>
      </c>
      <c r="C39" s="3" t="s">
        <v>269</v>
      </c>
      <c r="D39" s="3" t="s">
        <v>337</v>
      </c>
      <c r="E39" s="3" t="s">
        <v>338</v>
      </c>
      <c r="F39" s="3" t="s">
        <v>341</v>
      </c>
    </row>
    <row r="40" spans="1:6">
      <c r="A40" s="3" t="s">
        <v>267</v>
      </c>
      <c r="B40" s="3" t="s">
        <v>344</v>
      </c>
      <c r="C40" s="3" t="s">
        <v>269</v>
      </c>
      <c r="D40" s="4">
        <v>57.7901</v>
      </c>
      <c r="E40" s="3" t="s">
        <v>345</v>
      </c>
      <c r="F40" s="3"/>
    </row>
    <row r="41" ht="17" spans="1:6">
      <c r="A41" s="3" t="s">
        <v>267</v>
      </c>
      <c r="B41" s="3" t="s">
        <v>344</v>
      </c>
      <c r="C41" s="3" t="s">
        <v>269</v>
      </c>
      <c r="D41" s="5" t="s">
        <v>346</v>
      </c>
      <c r="E41" s="8" t="s">
        <v>347</v>
      </c>
      <c r="F41" s="3"/>
    </row>
    <row r="42" ht="17" spans="1:6">
      <c r="A42" s="3" t="s">
        <v>267</v>
      </c>
      <c r="B42" s="3" t="s">
        <v>344</v>
      </c>
      <c r="C42" s="3" t="s">
        <v>269</v>
      </c>
      <c r="D42" s="5" t="s">
        <v>348</v>
      </c>
      <c r="E42" s="8" t="s">
        <v>349</v>
      </c>
      <c r="F42" s="3"/>
    </row>
    <row r="43" ht="17" spans="1:6">
      <c r="A43" s="3" t="s">
        <v>267</v>
      </c>
      <c r="B43" s="3" t="s">
        <v>344</v>
      </c>
      <c r="C43" s="3" t="s">
        <v>269</v>
      </c>
      <c r="D43" s="5" t="s">
        <v>350</v>
      </c>
      <c r="E43" s="8" t="s">
        <v>351</v>
      </c>
      <c r="F43" s="3"/>
    </row>
    <row r="44" ht="17" spans="1:6">
      <c r="A44" s="3" t="s">
        <v>267</v>
      </c>
      <c r="B44" s="3" t="s">
        <v>344</v>
      </c>
      <c r="C44" s="3" t="s">
        <v>269</v>
      </c>
      <c r="D44" s="5" t="s">
        <v>352</v>
      </c>
      <c r="E44" s="8" t="s">
        <v>353</v>
      </c>
      <c r="F44" s="3"/>
    </row>
    <row r="45" ht="17" spans="1:6">
      <c r="A45" s="3" t="s">
        <v>267</v>
      </c>
      <c r="B45" s="3" t="s">
        <v>344</v>
      </c>
      <c r="C45" s="3" t="s">
        <v>269</v>
      </c>
      <c r="D45" s="5" t="s">
        <v>354</v>
      </c>
      <c r="E45" s="8" t="s">
        <v>355</v>
      </c>
      <c r="F45" s="3"/>
    </row>
    <row r="46" spans="1:6">
      <c r="A46" s="3" t="s">
        <v>267</v>
      </c>
      <c r="B46" s="3" t="s">
        <v>356</v>
      </c>
      <c r="C46" s="3" t="s">
        <v>269</v>
      </c>
      <c r="D46" s="4">
        <v>57.4904</v>
      </c>
      <c r="E46" s="3" t="s">
        <v>357</v>
      </c>
      <c r="F46" s="3"/>
    </row>
    <row r="47" spans="1:6">
      <c r="A47" s="3" t="s">
        <v>267</v>
      </c>
      <c r="B47" s="3" t="s">
        <v>356</v>
      </c>
      <c r="C47" s="3" t="s">
        <v>269</v>
      </c>
      <c r="D47" s="4" t="s">
        <v>358</v>
      </c>
      <c r="E47" s="3" t="s">
        <v>359</v>
      </c>
      <c r="F47" s="3"/>
    </row>
    <row r="48" ht="17" spans="1:6">
      <c r="A48" s="3" t="s">
        <v>267</v>
      </c>
      <c r="B48" s="3" t="s">
        <v>356</v>
      </c>
      <c r="C48" s="3" t="s">
        <v>269</v>
      </c>
      <c r="D48" s="5" t="s">
        <v>360</v>
      </c>
      <c r="E48" s="8" t="s">
        <v>361</v>
      </c>
      <c r="F48" s="3"/>
    </row>
    <row r="49" ht="25" customHeight="1" spans="1:6">
      <c r="A49" s="3" t="s">
        <v>267</v>
      </c>
      <c r="B49" s="3" t="s">
        <v>356</v>
      </c>
      <c r="C49" s="3" t="s">
        <v>269</v>
      </c>
      <c r="D49" s="5" t="s">
        <v>362</v>
      </c>
      <c r="E49" s="8" t="s">
        <v>363</v>
      </c>
      <c r="F49" s="3"/>
    </row>
    <row r="50" ht="17" spans="1:6">
      <c r="A50" s="3" t="s">
        <v>267</v>
      </c>
      <c r="B50" s="3" t="s">
        <v>356</v>
      </c>
      <c r="C50" s="3" t="s">
        <v>269</v>
      </c>
      <c r="D50" s="5" t="s">
        <v>364</v>
      </c>
      <c r="E50" s="8" t="s">
        <v>365</v>
      </c>
      <c r="F50" s="3"/>
    </row>
    <row r="51" ht="17" spans="1:6">
      <c r="A51" s="3" t="s">
        <v>267</v>
      </c>
      <c r="B51" s="3" t="s">
        <v>356</v>
      </c>
      <c r="C51" s="3" t="s">
        <v>269</v>
      </c>
      <c r="D51" s="5" t="s">
        <v>366</v>
      </c>
      <c r="E51" s="8" t="s">
        <v>367</v>
      </c>
      <c r="F51" s="3"/>
    </row>
    <row r="52" ht="17" spans="1:6">
      <c r="A52" s="3" t="s">
        <v>267</v>
      </c>
      <c r="B52" s="3" t="s">
        <v>356</v>
      </c>
      <c r="C52" s="3" t="s">
        <v>269</v>
      </c>
      <c r="D52" s="5" t="s">
        <v>368</v>
      </c>
      <c r="E52" s="8" t="s">
        <v>369</v>
      </c>
      <c r="F52" s="3"/>
    </row>
    <row r="53" ht="17" spans="1:6">
      <c r="A53" s="3" t="s">
        <v>267</v>
      </c>
      <c r="B53" s="3" t="s">
        <v>356</v>
      </c>
      <c r="C53" s="3" t="s">
        <v>269</v>
      </c>
      <c r="D53" s="5" t="s">
        <v>370</v>
      </c>
      <c r="E53" s="8" t="s">
        <v>371</v>
      </c>
      <c r="F53" s="3"/>
    </row>
    <row r="54" ht="17" spans="1:6">
      <c r="A54" s="3" t="s">
        <v>267</v>
      </c>
      <c r="B54" s="3" t="s">
        <v>356</v>
      </c>
      <c r="C54" s="3" t="s">
        <v>269</v>
      </c>
      <c r="D54" s="5" t="s">
        <v>372</v>
      </c>
      <c r="E54" s="8" t="s">
        <v>373</v>
      </c>
      <c r="F54" s="3"/>
    </row>
    <row r="55" ht="17" spans="1:6">
      <c r="A55" s="3" t="s">
        <v>267</v>
      </c>
      <c r="B55" s="3" t="s">
        <v>356</v>
      </c>
      <c r="C55" s="3" t="s">
        <v>269</v>
      </c>
      <c r="D55" s="5" t="s">
        <v>374</v>
      </c>
      <c r="E55" s="8" t="s">
        <v>375</v>
      </c>
      <c r="F55" s="3"/>
    </row>
    <row r="56" ht="17" spans="1:6">
      <c r="A56" s="3" t="s">
        <v>267</v>
      </c>
      <c r="B56" s="3" t="s">
        <v>356</v>
      </c>
      <c r="C56" s="3" t="s">
        <v>269</v>
      </c>
      <c r="D56" s="5" t="s">
        <v>376</v>
      </c>
      <c r="E56" s="8" t="s">
        <v>377</v>
      </c>
      <c r="F56" s="3"/>
    </row>
    <row r="57" ht="17" spans="1:6">
      <c r="A57" s="3" t="s">
        <v>267</v>
      </c>
      <c r="B57" s="3" t="s">
        <v>356</v>
      </c>
      <c r="C57" s="3" t="s">
        <v>269</v>
      </c>
      <c r="D57" s="6" t="s">
        <v>358</v>
      </c>
      <c r="E57" s="6" t="s">
        <v>359</v>
      </c>
      <c r="F57" s="3"/>
    </row>
    <row r="58" spans="1:6">
      <c r="A58" s="3" t="s">
        <v>267</v>
      </c>
      <c r="B58" s="3" t="s">
        <v>378</v>
      </c>
      <c r="C58" s="3" t="s">
        <v>269</v>
      </c>
      <c r="D58" s="4">
        <v>55.8702</v>
      </c>
      <c r="E58" s="3" t="s">
        <v>378</v>
      </c>
      <c r="F58" s="3"/>
    </row>
    <row r="59" spans="1:6">
      <c r="A59" s="3" t="s">
        <v>267</v>
      </c>
      <c r="B59" s="3" t="s">
        <v>378</v>
      </c>
      <c r="C59" s="3" t="s">
        <v>269</v>
      </c>
      <c r="D59" s="7">
        <v>55.12</v>
      </c>
      <c r="E59" s="7" t="s">
        <v>379</v>
      </c>
      <c r="F59" s="3"/>
    </row>
    <row r="60" spans="1:6">
      <c r="A60" s="3" t="s">
        <v>267</v>
      </c>
      <c r="B60" s="3" t="s">
        <v>378</v>
      </c>
      <c r="C60" s="3" t="s">
        <v>269</v>
      </c>
      <c r="D60" s="7">
        <v>55.82</v>
      </c>
      <c r="E60" s="7" t="s">
        <v>380</v>
      </c>
      <c r="F60" s="3"/>
    </row>
    <row r="61" spans="1:6">
      <c r="A61" s="3" t="s">
        <v>267</v>
      </c>
      <c r="B61" s="3" t="s">
        <v>378</v>
      </c>
      <c r="C61" s="3" t="s">
        <v>269</v>
      </c>
      <c r="D61" s="7">
        <v>55.8201</v>
      </c>
      <c r="E61" s="7" t="s">
        <v>381</v>
      </c>
      <c r="F61" s="3"/>
    </row>
    <row r="62" spans="1:6">
      <c r="A62" s="3" t="s">
        <v>267</v>
      </c>
      <c r="B62" s="3" t="s">
        <v>378</v>
      </c>
      <c r="C62" s="3" t="s">
        <v>269</v>
      </c>
      <c r="D62" s="7" t="s">
        <v>382</v>
      </c>
      <c r="E62" s="7" t="s">
        <v>383</v>
      </c>
      <c r="F62" s="3"/>
    </row>
    <row r="63" spans="1:6">
      <c r="A63" s="3" t="s">
        <v>267</v>
      </c>
      <c r="B63" s="3" t="s">
        <v>378</v>
      </c>
      <c r="C63" s="3" t="s">
        <v>269</v>
      </c>
      <c r="D63" s="7">
        <v>55.8601</v>
      </c>
      <c r="E63" s="7" t="s">
        <v>384</v>
      </c>
      <c r="F63" s="3"/>
    </row>
    <row r="64" spans="1:6">
      <c r="A64" s="3" t="s">
        <v>267</v>
      </c>
      <c r="B64" s="3" t="s">
        <v>378</v>
      </c>
      <c r="C64" s="3" t="s">
        <v>269</v>
      </c>
      <c r="D64" s="7">
        <v>55.8602</v>
      </c>
      <c r="E64" s="7" t="s">
        <v>385</v>
      </c>
      <c r="F64" s="3"/>
    </row>
    <row r="65" spans="1:6">
      <c r="A65" s="3" t="s">
        <v>267</v>
      </c>
      <c r="B65" s="3" t="s">
        <v>378</v>
      </c>
      <c r="C65" s="3" t="s">
        <v>269</v>
      </c>
      <c r="D65" s="7">
        <v>55.8603</v>
      </c>
      <c r="E65" s="7" t="s">
        <v>386</v>
      </c>
      <c r="F65" s="3"/>
    </row>
    <row r="66" spans="1:6">
      <c r="A66" s="3" t="s">
        <v>267</v>
      </c>
      <c r="B66" s="3" t="s">
        <v>378</v>
      </c>
      <c r="C66" s="3" t="s">
        <v>269</v>
      </c>
      <c r="D66" s="7">
        <v>55.8604</v>
      </c>
      <c r="E66" s="7" t="s">
        <v>387</v>
      </c>
      <c r="F66" s="3"/>
    </row>
    <row r="67" spans="1:6">
      <c r="A67" s="3" t="s">
        <v>267</v>
      </c>
      <c r="B67" s="3" t="s">
        <v>378</v>
      </c>
      <c r="C67" s="3" t="s">
        <v>269</v>
      </c>
      <c r="D67" s="7">
        <v>55.8605</v>
      </c>
      <c r="E67" s="7" t="s">
        <v>388</v>
      </c>
      <c r="F67" s="3"/>
    </row>
    <row r="68" spans="1:6">
      <c r="A68" s="3" t="s">
        <v>267</v>
      </c>
      <c r="B68" s="3" t="s">
        <v>378</v>
      </c>
      <c r="C68" s="3" t="s">
        <v>269</v>
      </c>
      <c r="D68" s="7">
        <v>55.8606</v>
      </c>
      <c r="E68" s="7" t="s">
        <v>389</v>
      </c>
      <c r="F68" s="3"/>
    </row>
    <row r="69" spans="1:6">
      <c r="A69" s="3" t="s">
        <v>267</v>
      </c>
      <c r="B69" s="3" t="s">
        <v>378</v>
      </c>
      <c r="C69" s="3" t="s">
        <v>269</v>
      </c>
      <c r="D69" s="7">
        <v>55.87</v>
      </c>
      <c r="E69" s="7" t="s">
        <v>390</v>
      </c>
      <c r="F69" s="3"/>
    </row>
    <row r="70" spans="1:6">
      <c r="A70" s="3" t="s">
        <v>267</v>
      </c>
      <c r="B70" s="3" t="s">
        <v>378</v>
      </c>
      <c r="C70" s="3" t="s">
        <v>269</v>
      </c>
      <c r="D70" s="7">
        <v>55.8701</v>
      </c>
      <c r="E70" s="7" t="s">
        <v>391</v>
      </c>
      <c r="F70" s="3"/>
    </row>
    <row r="71" spans="1:5">
      <c r="A71" s="3" t="s">
        <v>267</v>
      </c>
      <c r="B71" s="3" t="s">
        <v>378</v>
      </c>
      <c r="C71" s="3" t="s">
        <v>269</v>
      </c>
      <c r="D71" s="9" t="s">
        <v>392</v>
      </c>
      <c r="E71" s="9" t="s">
        <v>393</v>
      </c>
    </row>
    <row r="72" spans="1:6">
      <c r="A72" s="3" t="s">
        <v>267</v>
      </c>
      <c r="B72" s="3" t="s">
        <v>378</v>
      </c>
      <c r="C72" s="3" t="s">
        <v>269</v>
      </c>
      <c r="D72" s="7">
        <v>55.8703</v>
      </c>
      <c r="E72" s="7" t="s">
        <v>394</v>
      </c>
      <c r="F72" s="3"/>
    </row>
    <row r="73" spans="1:6">
      <c r="A73" s="3" t="s">
        <v>267</v>
      </c>
      <c r="B73" s="3" t="s">
        <v>378</v>
      </c>
      <c r="C73" s="3" t="s">
        <v>269</v>
      </c>
      <c r="D73" s="7">
        <v>55.8704</v>
      </c>
      <c r="E73" s="7" t="s">
        <v>395</v>
      </c>
      <c r="F73" s="3"/>
    </row>
    <row r="74" spans="1:6">
      <c r="A74" s="3" t="s">
        <v>267</v>
      </c>
      <c r="B74" s="3" t="s">
        <v>378</v>
      </c>
      <c r="C74" s="3" t="s">
        <v>269</v>
      </c>
      <c r="D74" s="7" t="s">
        <v>396</v>
      </c>
      <c r="E74" s="7" t="s">
        <v>397</v>
      </c>
      <c r="F74" s="3"/>
    </row>
    <row r="75" spans="1:6">
      <c r="A75" s="3" t="s">
        <v>267</v>
      </c>
      <c r="B75" s="3" t="s">
        <v>378</v>
      </c>
      <c r="C75" s="3" t="s">
        <v>269</v>
      </c>
      <c r="D75" s="7">
        <v>56.51</v>
      </c>
      <c r="E75" s="7" t="s">
        <v>398</v>
      </c>
      <c r="F75" s="3"/>
    </row>
    <row r="76" spans="1:6">
      <c r="A76" s="3" t="s">
        <v>267</v>
      </c>
      <c r="B76" s="3" t="s">
        <v>378</v>
      </c>
      <c r="C76" s="3" t="s">
        <v>269</v>
      </c>
      <c r="D76" s="7">
        <v>56.5102</v>
      </c>
      <c r="E76" s="7" t="s">
        <v>399</v>
      </c>
      <c r="F76" s="3"/>
    </row>
    <row r="77" spans="1:6">
      <c r="A77" s="3" t="s">
        <v>267</v>
      </c>
      <c r="B77" s="3" t="s">
        <v>378</v>
      </c>
      <c r="C77" s="3" t="s">
        <v>269</v>
      </c>
      <c r="D77" s="7">
        <v>56.52</v>
      </c>
      <c r="E77" s="7" t="s">
        <v>400</v>
      </c>
      <c r="F77" s="3"/>
    </row>
    <row r="78" spans="1:6">
      <c r="A78" s="3" t="s">
        <v>267</v>
      </c>
      <c r="B78" s="3" t="s">
        <v>378</v>
      </c>
      <c r="C78" s="3" t="s">
        <v>269</v>
      </c>
      <c r="D78" s="7" t="s">
        <v>401</v>
      </c>
      <c r="E78" s="7" t="s">
        <v>402</v>
      </c>
      <c r="F78" s="3"/>
    </row>
    <row r="79" spans="1:6">
      <c r="A79" s="3" t="s">
        <v>267</v>
      </c>
      <c r="B79" s="3" t="s">
        <v>378</v>
      </c>
      <c r="C79" s="3" t="s">
        <v>269</v>
      </c>
      <c r="D79" s="7">
        <v>56.61</v>
      </c>
      <c r="E79" s="7" t="s">
        <v>403</v>
      </c>
      <c r="F79" s="3"/>
    </row>
    <row r="80" spans="1:6">
      <c r="A80" s="3" t="s">
        <v>267</v>
      </c>
      <c r="B80" s="3" t="s">
        <v>378</v>
      </c>
      <c r="C80" s="3" t="s">
        <v>269</v>
      </c>
      <c r="D80" s="7" t="s">
        <v>404</v>
      </c>
      <c r="E80" s="7" t="s">
        <v>405</v>
      </c>
      <c r="F80" s="3"/>
    </row>
    <row r="81" spans="1:6">
      <c r="A81" s="3" t="s">
        <v>267</v>
      </c>
      <c r="B81" s="3" t="s">
        <v>378</v>
      </c>
      <c r="C81" s="3" t="s">
        <v>269</v>
      </c>
      <c r="D81" s="7" t="s">
        <v>406</v>
      </c>
      <c r="E81" s="7" t="s">
        <v>407</v>
      </c>
      <c r="F81" s="3"/>
    </row>
    <row r="82" spans="1:6">
      <c r="A82" s="3" t="s">
        <v>267</v>
      </c>
      <c r="B82" s="3" t="s">
        <v>378</v>
      </c>
      <c r="C82" s="3" t="s">
        <v>269</v>
      </c>
      <c r="D82" s="7" t="s">
        <v>408</v>
      </c>
      <c r="E82" s="7" t="s">
        <v>409</v>
      </c>
      <c r="F82" s="3"/>
    </row>
    <row r="83" spans="1:6">
      <c r="A83" s="3" t="s">
        <v>267</v>
      </c>
      <c r="B83" s="3" t="s">
        <v>378</v>
      </c>
      <c r="C83" s="3" t="s">
        <v>269</v>
      </c>
      <c r="D83" s="7">
        <v>56.62</v>
      </c>
      <c r="E83" s="7" t="s">
        <v>410</v>
      </c>
      <c r="F83" s="3"/>
    </row>
    <row r="84" spans="1:6">
      <c r="A84" s="3" t="s">
        <v>267</v>
      </c>
      <c r="B84" s="3" t="s">
        <v>378</v>
      </c>
      <c r="C84" s="3" t="s">
        <v>269</v>
      </c>
      <c r="D84" s="7">
        <v>56.6201</v>
      </c>
      <c r="E84" s="7" t="s">
        <v>411</v>
      </c>
      <c r="F84" s="3"/>
    </row>
    <row r="85" spans="1:6">
      <c r="A85" s="3" t="s">
        <v>267</v>
      </c>
      <c r="B85" s="3" t="s">
        <v>378</v>
      </c>
      <c r="C85" s="3" t="s">
        <v>269</v>
      </c>
      <c r="D85" s="7" t="s">
        <v>412</v>
      </c>
      <c r="E85" s="7" t="s">
        <v>413</v>
      </c>
      <c r="F85" s="3"/>
    </row>
    <row r="86" spans="1:6">
      <c r="A86" s="3" t="s">
        <v>267</v>
      </c>
      <c r="B86" s="3" t="s">
        <v>378</v>
      </c>
      <c r="C86" s="3" t="s">
        <v>269</v>
      </c>
      <c r="D86" s="7" t="s">
        <v>414</v>
      </c>
      <c r="E86" s="7" t="s">
        <v>415</v>
      </c>
      <c r="F86" s="3"/>
    </row>
    <row r="87" spans="1:6">
      <c r="A87" s="3" t="s">
        <v>267</v>
      </c>
      <c r="B87" s="3" t="s">
        <v>378</v>
      </c>
      <c r="C87" s="3" t="s">
        <v>269</v>
      </c>
      <c r="D87" s="7">
        <v>56.7101</v>
      </c>
      <c r="E87" s="7" t="s">
        <v>416</v>
      </c>
      <c r="F87" s="3"/>
    </row>
    <row r="88" spans="1:6">
      <c r="A88" s="3" t="s">
        <v>267</v>
      </c>
      <c r="B88" s="3" t="s">
        <v>378</v>
      </c>
      <c r="C88" s="3" t="s">
        <v>269</v>
      </c>
      <c r="D88" s="7">
        <v>56.7102</v>
      </c>
      <c r="E88" s="7" t="s">
        <v>417</v>
      </c>
      <c r="F88" s="3"/>
    </row>
    <row r="89" spans="1:6">
      <c r="A89" s="3" t="s">
        <v>267</v>
      </c>
      <c r="B89" s="3" t="s">
        <v>378</v>
      </c>
      <c r="C89" s="3" t="s">
        <v>269</v>
      </c>
      <c r="D89" s="7">
        <v>56.7103</v>
      </c>
      <c r="E89" s="7" t="s">
        <v>418</v>
      </c>
      <c r="F89" s="3"/>
    </row>
    <row r="90" spans="1:6">
      <c r="A90" s="3" t="s">
        <v>267</v>
      </c>
      <c r="B90" s="3" t="s">
        <v>378</v>
      </c>
      <c r="C90" s="3" t="s">
        <v>269</v>
      </c>
      <c r="D90" s="7">
        <v>56.7104</v>
      </c>
      <c r="E90" s="7" t="s">
        <v>419</v>
      </c>
      <c r="F90" s="3"/>
    </row>
    <row r="91" spans="1:6">
      <c r="A91" s="3" t="s">
        <v>267</v>
      </c>
      <c r="B91" s="3" t="s">
        <v>378</v>
      </c>
      <c r="C91" s="3" t="s">
        <v>269</v>
      </c>
      <c r="D91" s="7">
        <v>56.7105</v>
      </c>
      <c r="E91" s="7" t="s">
        <v>420</v>
      </c>
      <c r="F91" s="3"/>
    </row>
    <row r="92" spans="1:6">
      <c r="A92" s="3" t="s">
        <v>267</v>
      </c>
      <c r="B92" s="3" t="s">
        <v>378</v>
      </c>
      <c r="C92" s="3" t="s">
        <v>269</v>
      </c>
      <c r="D92" s="7">
        <v>56.72</v>
      </c>
      <c r="E92" s="7" t="s">
        <v>421</v>
      </c>
      <c r="F92" s="3"/>
    </row>
    <row r="93" spans="1:6">
      <c r="A93" s="3" t="s">
        <v>267</v>
      </c>
      <c r="B93" s="3" t="s">
        <v>378</v>
      </c>
      <c r="C93" s="3" t="s">
        <v>269</v>
      </c>
      <c r="D93" s="7">
        <v>56.74</v>
      </c>
      <c r="E93" s="7" t="s">
        <v>422</v>
      </c>
      <c r="F93" s="3"/>
    </row>
    <row r="94" spans="1:6">
      <c r="A94" s="3" t="s">
        <v>267</v>
      </c>
      <c r="B94" s="3" t="s">
        <v>378</v>
      </c>
      <c r="C94" s="3" t="s">
        <v>269</v>
      </c>
      <c r="D94" s="7">
        <v>56.7402</v>
      </c>
      <c r="E94" s="7" t="s">
        <v>423</v>
      </c>
      <c r="F94" s="3"/>
    </row>
    <row r="95" spans="1:6">
      <c r="A95" s="3" t="s">
        <v>267</v>
      </c>
      <c r="B95" s="3" t="s">
        <v>378</v>
      </c>
      <c r="C95" s="3" t="s">
        <v>269</v>
      </c>
      <c r="D95" s="7">
        <v>56.75</v>
      </c>
      <c r="E95" s="7" t="s">
        <v>424</v>
      </c>
      <c r="F95" s="3"/>
    </row>
    <row r="96" spans="1:6">
      <c r="A96" s="3" t="s">
        <v>267</v>
      </c>
      <c r="B96" s="3" t="s">
        <v>378</v>
      </c>
      <c r="C96" s="3" t="s">
        <v>269</v>
      </c>
      <c r="D96" s="7">
        <v>56.7501</v>
      </c>
      <c r="E96" s="7" t="s">
        <v>425</v>
      </c>
      <c r="F96" s="3"/>
    </row>
    <row r="97" spans="1:6">
      <c r="A97" s="3" t="s">
        <v>267</v>
      </c>
      <c r="B97" s="3" t="s">
        <v>378</v>
      </c>
      <c r="C97" s="3" t="s">
        <v>269</v>
      </c>
      <c r="D97" s="7">
        <v>56.79</v>
      </c>
      <c r="E97" s="7" t="s">
        <v>426</v>
      </c>
      <c r="F97" s="3"/>
    </row>
    <row r="98" spans="1:6">
      <c r="A98" s="3" t="s">
        <v>267</v>
      </c>
      <c r="B98" s="3" t="s">
        <v>378</v>
      </c>
      <c r="C98" s="3" t="s">
        <v>269</v>
      </c>
      <c r="D98" s="7" t="s">
        <v>427</v>
      </c>
      <c r="E98" s="7" t="s">
        <v>428</v>
      </c>
      <c r="F98" s="3"/>
    </row>
    <row r="99" spans="1:6">
      <c r="A99" s="3" t="s">
        <v>267</v>
      </c>
      <c r="B99" s="3" t="s">
        <v>378</v>
      </c>
      <c r="C99" s="3" t="s">
        <v>269</v>
      </c>
      <c r="D99" s="7">
        <v>56.8201</v>
      </c>
      <c r="E99" s="7" t="s">
        <v>429</v>
      </c>
      <c r="F99" s="3"/>
    </row>
    <row r="100" spans="1:6">
      <c r="A100" s="3" t="s">
        <v>267</v>
      </c>
      <c r="B100" s="3" t="s">
        <v>378</v>
      </c>
      <c r="C100" s="3" t="s">
        <v>269</v>
      </c>
      <c r="D100" s="7">
        <v>56.83</v>
      </c>
      <c r="E100" s="7" t="s">
        <v>430</v>
      </c>
      <c r="F100" s="3"/>
    </row>
    <row r="101" spans="1:6">
      <c r="A101" s="3" t="s">
        <v>267</v>
      </c>
      <c r="B101" s="3" t="s">
        <v>378</v>
      </c>
      <c r="C101" s="3" t="s">
        <v>269</v>
      </c>
      <c r="D101" s="7">
        <v>56.84</v>
      </c>
      <c r="E101" s="7" t="s">
        <v>431</v>
      </c>
      <c r="F101" s="3"/>
    </row>
    <row r="102" spans="1:6">
      <c r="A102" s="3" t="s">
        <v>267</v>
      </c>
      <c r="B102" s="3" t="s">
        <v>378</v>
      </c>
      <c r="C102" s="3" t="s">
        <v>269</v>
      </c>
      <c r="D102" s="7" t="s">
        <v>432</v>
      </c>
      <c r="E102" s="7" t="s">
        <v>433</v>
      </c>
      <c r="F102" s="3"/>
    </row>
    <row r="103" spans="1:6">
      <c r="A103" s="3" t="s">
        <v>267</v>
      </c>
      <c r="B103" s="3" t="s">
        <v>378</v>
      </c>
      <c r="C103" s="3" t="s">
        <v>269</v>
      </c>
      <c r="D103" s="7">
        <v>56.8401</v>
      </c>
      <c r="E103" s="7" t="s">
        <v>434</v>
      </c>
      <c r="F103" s="3"/>
    </row>
    <row r="104" spans="1:6">
      <c r="A104" s="3" t="s">
        <v>267</v>
      </c>
      <c r="B104" s="3" t="s">
        <v>378</v>
      </c>
      <c r="C104" s="3" t="s">
        <v>269</v>
      </c>
      <c r="D104" s="7">
        <v>56.89</v>
      </c>
      <c r="E104" s="7" t="s">
        <v>435</v>
      </c>
      <c r="F104" s="3"/>
    </row>
    <row r="105" spans="1:6">
      <c r="A105" s="3" t="s">
        <v>267</v>
      </c>
      <c r="B105" s="3" t="s">
        <v>378</v>
      </c>
      <c r="C105" s="3" t="s">
        <v>269</v>
      </c>
      <c r="D105" s="7">
        <v>56.8901</v>
      </c>
      <c r="E105" s="7" t="s">
        <v>436</v>
      </c>
      <c r="F105" s="3"/>
    </row>
    <row r="106" spans="1:6">
      <c r="A106" s="3" t="s">
        <v>267</v>
      </c>
      <c r="B106" s="3" t="s">
        <v>378</v>
      </c>
      <c r="C106" s="3" t="s">
        <v>269</v>
      </c>
      <c r="D106" s="7">
        <v>56.8908</v>
      </c>
      <c r="E106" s="7" t="s">
        <v>437</v>
      </c>
      <c r="F106" s="3"/>
    </row>
    <row r="107" spans="1:6">
      <c r="A107" s="3" t="s">
        <v>267</v>
      </c>
      <c r="B107" s="3" t="s">
        <v>438</v>
      </c>
      <c r="C107" s="3" t="s">
        <v>269</v>
      </c>
      <c r="D107" s="7" t="s">
        <v>285</v>
      </c>
      <c r="E107" s="7" t="s">
        <v>286</v>
      </c>
      <c r="F107" s="3"/>
    </row>
    <row r="108" spans="1:6">
      <c r="A108" s="3" t="s">
        <v>267</v>
      </c>
      <c r="B108" s="3" t="s">
        <v>438</v>
      </c>
      <c r="C108" s="3" t="s">
        <v>269</v>
      </c>
      <c r="D108" s="7">
        <v>55.51</v>
      </c>
      <c r="E108" s="7" t="s">
        <v>439</v>
      </c>
      <c r="F108" s="3"/>
    </row>
    <row r="109" spans="1:6">
      <c r="A109" s="3" t="s">
        <v>267</v>
      </c>
      <c r="B109" s="3" t="s">
        <v>438</v>
      </c>
      <c r="C109" s="3" t="s">
        <v>269</v>
      </c>
      <c r="D109" s="7">
        <v>55.5104</v>
      </c>
      <c r="E109" s="7" t="s">
        <v>440</v>
      </c>
      <c r="F109" s="3"/>
    </row>
    <row r="110" spans="1:6">
      <c r="A110" s="3" t="s">
        <v>267</v>
      </c>
      <c r="B110" s="3" t="s">
        <v>438</v>
      </c>
      <c r="C110" s="3" t="s">
        <v>269</v>
      </c>
      <c r="D110" s="7">
        <v>55.5106</v>
      </c>
      <c r="E110" s="7" t="s">
        <v>441</v>
      </c>
      <c r="F110" s="3"/>
    </row>
    <row r="111" spans="1:6">
      <c r="A111" s="3" t="s">
        <v>267</v>
      </c>
      <c r="B111" s="3" t="s">
        <v>438</v>
      </c>
      <c r="C111" s="3" t="s">
        <v>269</v>
      </c>
      <c r="D111" s="7">
        <v>56.4</v>
      </c>
      <c r="E111" s="7" t="s">
        <v>442</v>
      </c>
      <c r="F111" s="3"/>
    </row>
    <row r="112" spans="1:6">
      <c r="A112" s="3" t="s">
        <v>267</v>
      </c>
      <c r="B112" s="3" t="s">
        <v>438</v>
      </c>
      <c r="C112" s="3" t="s">
        <v>269</v>
      </c>
      <c r="D112" s="7">
        <v>56.4102</v>
      </c>
      <c r="E112" s="7" t="s">
        <v>443</v>
      </c>
      <c r="F112" s="3"/>
    </row>
    <row r="113" spans="1:6">
      <c r="A113" s="3" t="s">
        <v>267</v>
      </c>
      <c r="B113" s="3" t="s">
        <v>438</v>
      </c>
      <c r="C113" s="3" t="s">
        <v>269</v>
      </c>
      <c r="D113" s="7">
        <v>56.4201</v>
      </c>
      <c r="E113" s="7" t="s">
        <v>444</v>
      </c>
      <c r="F113" s="3"/>
    </row>
    <row r="114" spans="1:6">
      <c r="A114" s="3" t="s">
        <v>267</v>
      </c>
      <c r="B114" s="3" t="s">
        <v>445</v>
      </c>
      <c r="C114" s="3" t="s">
        <v>269</v>
      </c>
      <c r="D114" s="4">
        <v>55.0402</v>
      </c>
      <c r="E114" s="3" t="s">
        <v>446</v>
      </c>
      <c r="F114" s="3"/>
    </row>
    <row r="115" spans="1:6">
      <c r="A115" s="3" t="s">
        <v>267</v>
      </c>
      <c r="B115" s="3" t="s">
        <v>445</v>
      </c>
      <c r="C115" s="3" t="s">
        <v>269</v>
      </c>
      <c r="D115" s="4">
        <v>55.0403</v>
      </c>
      <c r="E115" s="3" t="s">
        <v>447</v>
      </c>
      <c r="F115" s="3"/>
    </row>
    <row r="116" spans="1:6">
      <c r="A116" s="3" t="s">
        <v>267</v>
      </c>
      <c r="B116" s="3" t="s">
        <v>445</v>
      </c>
      <c r="C116" s="3" t="s">
        <v>269</v>
      </c>
      <c r="D116" s="4">
        <v>55.0404</v>
      </c>
      <c r="E116" s="3" t="s">
        <v>448</v>
      </c>
      <c r="F116" s="3"/>
    </row>
    <row r="117" spans="1:6">
      <c r="A117" s="3" t="s">
        <v>267</v>
      </c>
      <c r="B117" s="3" t="s">
        <v>445</v>
      </c>
      <c r="C117" s="3" t="s">
        <v>269</v>
      </c>
      <c r="D117" s="7" t="s">
        <v>449</v>
      </c>
      <c r="E117" s="7" t="s">
        <v>450</v>
      </c>
      <c r="F117" s="3"/>
    </row>
    <row r="118" spans="1:6">
      <c r="A118" s="3" t="s">
        <v>267</v>
      </c>
      <c r="B118" s="3" t="s">
        <v>445</v>
      </c>
      <c r="C118" s="3" t="s">
        <v>269</v>
      </c>
      <c r="D118" s="7" t="s">
        <v>451</v>
      </c>
      <c r="E118" s="7" t="s">
        <v>452</v>
      </c>
      <c r="F118" s="3"/>
    </row>
    <row r="119" spans="1:6">
      <c r="A119" s="3" t="s">
        <v>267</v>
      </c>
      <c r="B119" s="3" t="s">
        <v>445</v>
      </c>
      <c r="C119" s="3" t="s">
        <v>269</v>
      </c>
      <c r="D119" s="7" t="s">
        <v>453</v>
      </c>
      <c r="E119" s="7" t="s">
        <v>454</v>
      </c>
      <c r="F119" s="3"/>
    </row>
    <row r="120" spans="1:6">
      <c r="A120" s="3" t="s">
        <v>267</v>
      </c>
      <c r="B120" s="3" t="s">
        <v>445</v>
      </c>
      <c r="C120" s="3" t="s">
        <v>269</v>
      </c>
      <c r="D120" s="7">
        <v>55.0302</v>
      </c>
      <c r="E120" s="7" t="s">
        <v>455</v>
      </c>
      <c r="F120" s="3"/>
    </row>
    <row r="121" spans="1:6">
      <c r="A121" s="3" t="s">
        <v>267</v>
      </c>
      <c r="B121" s="3" t="s">
        <v>445</v>
      </c>
      <c r="C121" s="3" t="s">
        <v>269</v>
      </c>
      <c r="D121" s="7" t="s">
        <v>456</v>
      </c>
      <c r="E121" s="7" t="s">
        <v>457</v>
      </c>
      <c r="F121" s="3"/>
    </row>
    <row r="122" spans="1:6">
      <c r="A122" s="3" t="s">
        <v>267</v>
      </c>
      <c r="B122" s="3" t="s">
        <v>445</v>
      </c>
      <c r="C122" s="3" t="s">
        <v>269</v>
      </c>
      <c r="D122" s="7" t="s">
        <v>458</v>
      </c>
      <c r="E122" s="7" t="s">
        <v>459</v>
      </c>
      <c r="F122" s="3"/>
    </row>
    <row r="123" spans="1:6">
      <c r="A123" s="3" t="s">
        <v>267</v>
      </c>
      <c r="B123" s="3" t="s">
        <v>445</v>
      </c>
      <c r="C123" s="3" t="s">
        <v>269</v>
      </c>
      <c r="D123" s="7" t="s">
        <v>460</v>
      </c>
      <c r="E123" s="7" t="s">
        <v>461</v>
      </c>
      <c r="F123" s="3"/>
    </row>
    <row r="124" spans="1:6">
      <c r="A124" s="3" t="s">
        <v>267</v>
      </c>
      <c r="B124" s="3" t="s">
        <v>445</v>
      </c>
      <c r="C124" s="3" t="s">
        <v>269</v>
      </c>
      <c r="D124" s="7" t="s">
        <v>462</v>
      </c>
      <c r="E124" s="7" t="s">
        <v>463</v>
      </c>
      <c r="F124" s="3"/>
    </row>
    <row r="125" spans="1:6">
      <c r="A125" s="3" t="s">
        <v>267</v>
      </c>
      <c r="B125" s="3" t="s">
        <v>445</v>
      </c>
      <c r="C125" s="3" t="s">
        <v>269</v>
      </c>
      <c r="D125" s="7" t="s">
        <v>464</v>
      </c>
      <c r="E125" s="7" t="s">
        <v>465</v>
      </c>
      <c r="F125" s="3"/>
    </row>
    <row r="126" spans="1:6">
      <c r="A126" s="3" t="s">
        <v>267</v>
      </c>
      <c r="B126" s="3" t="s">
        <v>445</v>
      </c>
      <c r="C126" s="3" t="s">
        <v>269</v>
      </c>
      <c r="D126" s="7" t="s">
        <v>466</v>
      </c>
      <c r="E126" s="7" t="s">
        <v>467</v>
      </c>
      <c r="F126" s="3"/>
    </row>
    <row r="127" spans="1:6">
      <c r="A127" s="3" t="s">
        <v>267</v>
      </c>
      <c r="B127" s="3" t="s">
        <v>445</v>
      </c>
      <c r="C127" s="3" t="s">
        <v>269</v>
      </c>
      <c r="D127" s="7">
        <v>55.0401</v>
      </c>
      <c r="E127" s="7" t="s">
        <v>468</v>
      </c>
      <c r="F127" s="3"/>
    </row>
    <row r="128" ht="17" spans="1:6">
      <c r="A128" s="3" t="s">
        <v>267</v>
      </c>
      <c r="B128" s="3" t="s">
        <v>469</v>
      </c>
      <c r="C128" s="3" t="s">
        <v>269</v>
      </c>
      <c r="D128" s="5" t="s">
        <v>470</v>
      </c>
      <c r="E128" s="5" t="s">
        <v>471</v>
      </c>
      <c r="F128" s="3"/>
    </row>
    <row r="129" ht="17" spans="1:6">
      <c r="A129" s="3" t="s">
        <v>267</v>
      </c>
      <c r="B129" s="3" t="s">
        <v>469</v>
      </c>
      <c r="C129" s="3" t="s">
        <v>269</v>
      </c>
      <c r="D129" s="5" t="s">
        <v>472</v>
      </c>
      <c r="E129" s="5" t="s">
        <v>473</v>
      </c>
      <c r="F129" s="3"/>
    </row>
    <row r="130" ht="17" spans="1:6">
      <c r="A130" s="3" t="s">
        <v>267</v>
      </c>
      <c r="B130" s="3" t="s">
        <v>469</v>
      </c>
      <c r="C130" s="3" t="s">
        <v>269</v>
      </c>
      <c r="D130" s="5" t="s">
        <v>474</v>
      </c>
      <c r="E130" s="5" t="s">
        <v>475</v>
      </c>
      <c r="F130" s="3"/>
    </row>
    <row r="131" ht="17" spans="1:6">
      <c r="A131" s="3" t="s">
        <v>267</v>
      </c>
      <c r="B131" s="3" t="s">
        <v>469</v>
      </c>
      <c r="C131" s="3" t="s">
        <v>269</v>
      </c>
      <c r="D131" s="5" t="s">
        <v>476</v>
      </c>
      <c r="E131" s="5" t="s">
        <v>477</v>
      </c>
      <c r="F131" s="3"/>
    </row>
    <row r="132" ht="17" spans="1:6">
      <c r="A132" s="3" t="s">
        <v>267</v>
      </c>
      <c r="B132" s="3" t="s">
        <v>469</v>
      </c>
      <c r="C132" s="3" t="s">
        <v>269</v>
      </c>
      <c r="D132" s="5" t="s">
        <v>478</v>
      </c>
      <c r="E132" s="5" t="s">
        <v>479</v>
      </c>
      <c r="F132" s="3"/>
    </row>
    <row r="133" ht="17" spans="1:6">
      <c r="A133" s="3" t="s">
        <v>267</v>
      </c>
      <c r="B133" s="3" t="s">
        <v>469</v>
      </c>
      <c r="C133" s="3" t="s">
        <v>269</v>
      </c>
      <c r="D133" s="5" t="s">
        <v>480</v>
      </c>
      <c r="E133" s="5" t="s">
        <v>481</v>
      </c>
      <c r="F133" s="3"/>
    </row>
    <row r="134" ht="17" spans="1:6">
      <c r="A134" s="3" t="s">
        <v>267</v>
      </c>
      <c r="B134" s="3" t="s">
        <v>469</v>
      </c>
      <c r="C134" s="3" t="s">
        <v>269</v>
      </c>
      <c r="D134" s="5" t="s">
        <v>482</v>
      </c>
      <c r="E134" s="5" t="s">
        <v>483</v>
      </c>
      <c r="F134" s="3"/>
    </row>
    <row r="135" ht="17" spans="1:6">
      <c r="A135" s="3" t="s">
        <v>267</v>
      </c>
      <c r="B135" s="3" t="s">
        <v>469</v>
      </c>
      <c r="C135" s="3" t="s">
        <v>269</v>
      </c>
      <c r="D135" s="5" t="s">
        <v>484</v>
      </c>
      <c r="E135" s="5" t="s">
        <v>485</v>
      </c>
      <c r="F135" s="3"/>
    </row>
    <row r="136" ht="17" spans="1:6">
      <c r="A136" s="3" t="s">
        <v>267</v>
      </c>
      <c r="B136" s="3" t="s">
        <v>469</v>
      </c>
      <c r="C136" s="3" t="s">
        <v>269</v>
      </c>
      <c r="D136" s="5" t="s">
        <v>486</v>
      </c>
      <c r="E136" s="5" t="s">
        <v>487</v>
      </c>
      <c r="F136" s="3"/>
    </row>
    <row r="137" ht="17" spans="1:6">
      <c r="A137" s="3" t="s">
        <v>267</v>
      </c>
      <c r="B137" s="3" t="s">
        <v>469</v>
      </c>
      <c r="C137" s="3" t="s">
        <v>269</v>
      </c>
      <c r="D137" s="5" t="s">
        <v>488</v>
      </c>
      <c r="E137" s="5" t="s">
        <v>489</v>
      </c>
      <c r="F137" s="3"/>
    </row>
    <row r="138" ht="34" spans="1:6">
      <c r="A138" s="3" t="s">
        <v>267</v>
      </c>
      <c r="B138" s="3" t="s">
        <v>469</v>
      </c>
      <c r="C138" s="3" t="s">
        <v>269</v>
      </c>
      <c r="D138" s="5" t="s">
        <v>490</v>
      </c>
      <c r="E138" s="5" t="s">
        <v>491</v>
      </c>
      <c r="F138" s="3"/>
    </row>
    <row r="139" ht="34" spans="1:6">
      <c r="A139" s="3" t="s">
        <v>267</v>
      </c>
      <c r="B139" s="3" t="s">
        <v>469</v>
      </c>
      <c r="C139" s="3" t="s">
        <v>269</v>
      </c>
      <c r="D139" s="5" t="s">
        <v>492</v>
      </c>
      <c r="E139" s="5" t="s">
        <v>493</v>
      </c>
      <c r="F139" s="3"/>
    </row>
    <row r="140" ht="17" spans="1:6">
      <c r="A140" s="3" t="s">
        <v>267</v>
      </c>
      <c r="B140" s="3" t="s">
        <v>469</v>
      </c>
      <c r="C140" s="3" t="s">
        <v>269</v>
      </c>
      <c r="D140" s="5" t="s">
        <v>494</v>
      </c>
      <c r="E140" s="5" t="s">
        <v>495</v>
      </c>
      <c r="F140" s="3"/>
    </row>
    <row r="141" ht="17" spans="1:6">
      <c r="A141" s="3" t="s">
        <v>267</v>
      </c>
      <c r="B141" s="3" t="s">
        <v>469</v>
      </c>
      <c r="C141" s="3" t="s">
        <v>269</v>
      </c>
      <c r="D141" s="5" t="s">
        <v>496</v>
      </c>
      <c r="E141" s="5" t="s">
        <v>497</v>
      </c>
      <c r="F141" s="3"/>
    </row>
    <row r="142" spans="1:6">
      <c r="A142" s="3" t="s">
        <v>267</v>
      </c>
      <c r="B142" s="3" t="s">
        <v>469</v>
      </c>
      <c r="C142" s="3" t="s">
        <v>269</v>
      </c>
      <c r="D142" s="10" t="s">
        <v>498</v>
      </c>
      <c r="E142" s="10" t="s">
        <v>446</v>
      </c>
      <c r="F142" s="3"/>
    </row>
    <row r="143" spans="1:6">
      <c r="A143" s="3" t="s">
        <v>267</v>
      </c>
      <c r="B143" s="3" t="s">
        <v>469</v>
      </c>
      <c r="C143" s="3" t="s">
        <v>269</v>
      </c>
      <c r="D143" s="10" t="s">
        <v>499</v>
      </c>
      <c r="E143" s="10" t="s">
        <v>447</v>
      </c>
      <c r="F143" s="3"/>
    </row>
    <row r="144" spans="1:6">
      <c r="A144" s="3" t="s">
        <v>267</v>
      </c>
      <c r="B144" s="3" t="s">
        <v>469</v>
      </c>
      <c r="C144" s="3" t="s">
        <v>269</v>
      </c>
      <c r="D144" s="10" t="s">
        <v>500</v>
      </c>
      <c r="E144" s="10" t="s">
        <v>448</v>
      </c>
      <c r="F144" s="3"/>
    </row>
    <row r="145" spans="1:6">
      <c r="A145" s="3" t="s">
        <v>267</v>
      </c>
      <c r="B145" s="3" t="s">
        <v>501</v>
      </c>
      <c r="C145" s="3" t="s">
        <v>269</v>
      </c>
      <c r="D145" s="7" t="s">
        <v>502</v>
      </c>
      <c r="E145" s="3" t="s">
        <v>503</v>
      </c>
      <c r="F145" s="3"/>
    </row>
    <row r="146" spans="1:6">
      <c r="A146" s="3" t="s">
        <v>267</v>
      </c>
      <c r="B146" s="3" t="s">
        <v>501</v>
      </c>
      <c r="C146" s="3" t="s">
        <v>269</v>
      </c>
      <c r="D146" s="7">
        <v>60.2901</v>
      </c>
      <c r="E146" s="3" t="s">
        <v>504</v>
      </c>
      <c r="F146" s="3"/>
    </row>
    <row r="147" spans="1:6">
      <c r="A147" s="3" t="s">
        <v>267</v>
      </c>
      <c r="B147" s="3" t="s">
        <v>501</v>
      </c>
      <c r="C147" s="3" t="s">
        <v>269</v>
      </c>
      <c r="D147" s="3" t="s">
        <v>505</v>
      </c>
      <c r="E147" s="3" t="s">
        <v>506</v>
      </c>
      <c r="F147" s="3"/>
    </row>
    <row r="148" spans="1:6">
      <c r="A148" s="3" t="s">
        <v>267</v>
      </c>
      <c r="B148" s="3" t="s">
        <v>501</v>
      </c>
      <c r="C148" s="3" t="s">
        <v>269</v>
      </c>
      <c r="D148" s="4">
        <v>60.29</v>
      </c>
      <c r="E148" s="3" t="s">
        <v>507</v>
      </c>
      <c r="F148" s="3"/>
    </row>
    <row r="149" spans="1:6">
      <c r="A149" s="3" t="s">
        <v>267</v>
      </c>
      <c r="B149" s="3" t="s">
        <v>501</v>
      </c>
      <c r="C149" s="3" t="s">
        <v>269</v>
      </c>
      <c r="D149" s="3" t="s">
        <v>508</v>
      </c>
      <c r="E149" s="3" t="s">
        <v>509</v>
      </c>
      <c r="F149" s="3"/>
    </row>
    <row r="150" spans="1:6">
      <c r="A150" s="3" t="s">
        <v>267</v>
      </c>
      <c r="B150" s="3" t="s">
        <v>501</v>
      </c>
      <c r="C150" s="3" t="s">
        <v>269</v>
      </c>
      <c r="D150" s="4">
        <v>60.2902</v>
      </c>
      <c r="E150" s="3" t="s">
        <v>510</v>
      </c>
      <c r="F150" s="3"/>
    </row>
    <row r="151" spans="1:6">
      <c r="A151" s="3" t="s">
        <v>267</v>
      </c>
      <c r="B151" s="3" t="s">
        <v>501</v>
      </c>
      <c r="C151" s="3" t="s">
        <v>269</v>
      </c>
      <c r="D151" s="3" t="s">
        <v>511</v>
      </c>
      <c r="E151" s="3" t="s">
        <v>512</v>
      </c>
      <c r="F151" s="3"/>
    </row>
    <row r="152" spans="1:6">
      <c r="A152" s="3" t="s">
        <v>267</v>
      </c>
      <c r="B152" s="3" t="s">
        <v>501</v>
      </c>
      <c r="C152" s="3" t="s">
        <v>269</v>
      </c>
      <c r="D152" s="4">
        <v>60.21</v>
      </c>
      <c r="E152" s="3" t="s">
        <v>513</v>
      </c>
      <c r="F152" s="3"/>
    </row>
    <row r="153" spans="1:6">
      <c r="A153" s="3" t="s">
        <v>267</v>
      </c>
      <c r="B153" s="3" t="s">
        <v>514</v>
      </c>
      <c r="C153" s="3" t="s">
        <v>269</v>
      </c>
      <c r="D153" s="7" t="s">
        <v>515</v>
      </c>
      <c r="E153" s="3" t="s">
        <v>516</v>
      </c>
      <c r="F153" s="3"/>
    </row>
    <row r="154" spans="1:6">
      <c r="A154" s="3" t="s">
        <v>267</v>
      </c>
      <c r="B154" s="3" t="s">
        <v>514</v>
      </c>
      <c r="C154" s="3" t="s">
        <v>269</v>
      </c>
      <c r="D154" s="7">
        <v>57.4902</v>
      </c>
      <c r="E154" s="3" t="s">
        <v>517</v>
      </c>
      <c r="F154" s="3"/>
    </row>
    <row r="155" ht="34" spans="1:6">
      <c r="A155" s="3" t="s">
        <v>267</v>
      </c>
      <c r="B155" s="3" t="s">
        <v>514</v>
      </c>
      <c r="C155" s="3" t="s">
        <v>269</v>
      </c>
      <c r="D155" s="5" t="s">
        <v>518</v>
      </c>
      <c r="E155" s="8" t="s">
        <v>519</v>
      </c>
      <c r="F155" s="3" t="s">
        <v>341</v>
      </c>
    </row>
    <row r="156" ht="17" spans="1:6">
      <c r="A156" s="3" t="s">
        <v>267</v>
      </c>
      <c r="B156" s="3" t="s">
        <v>514</v>
      </c>
      <c r="C156" s="3" t="s">
        <v>269</v>
      </c>
      <c r="D156" s="5" t="s">
        <v>520</v>
      </c>
      <c r="E156" s="8" t="s">
        <v>521</v>
      </c>
      <c r="F156" s="3" t="s">
        <v>341</v>
      </c>
    </row>
    <row r="157" ht="17" spans="1:6">
      <c r="A157" s="3" t="s">
        <v>267</v>
      </c>
      <c r="B157" s="3" t="s">
        <v>514</v>
      </c>
      <c r="C157" s="3" t="s">
        <v>269</v>
      </c>
      <c r="D157" s="5" t="s">
        <v>522</v>
      </c>
      <c r="E157" s="8" t="s">
        <v>523</v>
      </c>
      <c r="F157" s="3" t="s">
        <v>341</v>
      </c>
    </row>
    <row r="158" ht="17" spans="1:6">
      <c r="A158" s="3" t="s">
        <v>267</v>
      </c>
      <c r="B158" s="3" t="s">
        <v>514</v>
      </c>
      <c r="C158" s="3" t="s">
        <v>269</v>
      </c>
      <c r="D158" s="5" t="s">
        <v>524</v>
      </c>
      <c r="E158" s="8" t="s">
        <v>525</v>
      </c>
      <c r="F158" s="3" t="s">
        <v>341</v>
      </c>
    </row>
    <row r="159" spans="1:6">
      <c r="A159" s="3" t="s">
        <v>267</v>
      </c>
      <c r="B159" s="3" t="s">
        <v>514</v>
      </c>
      <c r="C159" s="3" t="s">
        <v>269</v>
      </c>
      <c r="D159" s="4" t="s">
        <v>526</v>
      </c>
      <c r="E159" s="3" t="s">
        <v>527</v>
      </c>
      <c r="F159" s="3" t="s">
        <v>341</v>
      </c>
    </row>
    <row r="160" ht="17" spans="1:6">
      <c r="A160" s="3" t="s">
        <v>267</v>
      </c>
      <c r="B160" s="3" t="s">
        <v>514</v>
      </c>
      <c r="C160" s="3" t="s">
        <v>269</v>
      </c>
      <c r="D160" s="5" t="s">
        <v>528</v>
      </c>
      <c r="E160" s="8" t="s">
        <v>529</v>
      </c>
      <c r="F160" s="3" t="s">
        <v>341</v>
      </c>
    </row>
    <row r="161" ht="17" spans="1:6">
      <c r="A161" s="3" t="s">
        <v>267</v>
      </c>
      <c r="B161" s="3" t="s">
        <v>514</v>
      </c>
      <c r="C161" s="3" t="s">
        <v>269</v>
      </c>
      <c r="D161" s="5" t="s">
        <v>530</v>
      </c>
      <c r="E161" s="8" t="s">
        <v>531</v>
      </c>
      <c r="F161" s="3" t="s">
        <v>341</v>
      </c>
    </row>
    <row r="162" ht="17" spans="1:6">
      <c r="A162" s="3" t="s">
        <v>267</v>
      </c>
      <c r="B162" s="3" t="s">
        <v>514</v>
      </c>
      <c r="C162" s="3" t="s">
        <v>269</v>
      </c>
      <c r="D162" s="5" t="s">
        <v>532</v>
      </c>
      <c r="E162" s="8" t="s">
        <v>533</v>
      </c>
      <c r="F162" s="3" t="s">
        <v>341</v>
      </c>
    </row>
    <row r="163" ht="17" spans="1:6">
      <c r="A163" s="3" t="s">
        <v>267</v>
      </c>
      <c r="B163" s="3" t="s">
        <v>514</v>
      </c>
      <c r="C163" s="3" t="s">
        <v>269</v>
      </c>
      <c r="D163" s="5" t="s">
        <v>534</v>
      </c>
      <c r="E163" s="8" t="s">
        <v>535</v>
      </c>
      <c r="F163" s="3" t="s">
        <v>341</v>
      </c>
    </row>
    <row r="164" ht="17" spans="1:6">
      <c r="A164" s="3" t="s">
        <v>267</v>
      </c>
      <c r="B164" s="3" t="s">
        <v>514</v>
      </c>
      <c r="C164" s="3" t="s">
        <v>269</v>
      </c>
      <c r="D164" s="5" t="s">
        <v>536</v>
      </c>
      <c r="E164" s="8" t="s">
        <v>537</v>
      </c>
      <c r="F164" s="3" t="s">
        <v>341</v>
      </c>
    </row>
    <row r="165" spans="1:6">
      <c r="A165" s="11" t="s">
        <v>267</v>
      </c>
      <c r="B165" s="11" t="s">
        <v>538</v>
      </c>
      <c r="C165" s="4" t="s">
        <v>539</v>
      </c>
      <c r="D165" s="11" t="s">
        <v>540</v>
      </c>
      <c r="E165" s="11" t="s">
        <v>541</v>
      </c>
      <c r="F165" s="13"/>
    </row>
    <row r="166" spans="1:6">
      <c r="A166" s="11" t="s">
        <v>267</v>
      </c>
      <c r="B166" s="11" t="s">
        <v>538</v>
      </c>
      <c r="C166" s="4" t="s">
        <v>539</v>
      </c>
      <c r="D166" s="11" t="s">
        <v>488</v>
      </c>
      <c r="E166" s="11" t="s">
        <v>489</v>
      </c>
      <c r="F166" s="13"/>
    </row>
    <row r="167" spans="1:6">
      <c r="A167" s="11" t="s">
        <v>267</v>
      </c>
      <c r="B167" s="11" t="s">
        <v>538</v>
      </c>
      <c r="C167" s="4" t="s">
        <v>539</v>
      </c>
      <c r="D167" s="11" t="s">
        <v>486</v>
      </c>
      <c r="E167" s="11" t="s">
        <v>487</v>
      </c>
      <c r="F167" s="13"/>
    </row>
    <row r="168" spans="1:6">
      <c r="A168" s="11" t="s">
        <v>267</v>
      </c>
      <c r="B168" s="11" t="s">
        <v>538</v>
      </c>
      <c r="C168" s="4" t="s">
        <v>539</v>
      </c>
      <c r="D168" s="11" t="s">
        <v>458</v>
      </c>
      <c r="E168" s="11" t="s">
        <v>459</v>
      </c>
      <c r="F168" s="13"/>
    </row>
    <row r="169" spans="1:6">
      <c r="A169" s="11" t="s">
        <v>267</v>
      </c>
      <c r="B169" s="11" t="s">
        <v>538</v>
      </c>
      <c r="C169" s="4" t="s">
        <v>539</v>
      </c>
      <c r="D169" s="11" t="s">
        <v>542</v>
      </c>
      <c r="E169" s="11" t="s">
        <v>543</v>
      </c>
      <c r="F169" s="13"/>
    </row>
    <row r="170" spans="1:6">
      <c r="A170" s="11" t="s">
        <v>267</v>
      </c>
      <c r="B170" s="11" t="s">
        <v>538</v>
      </c>
      <c r="C170" s="4" t="s">
        <v>539</v>
      </c>
      <c r="D170" s="11" t="s">
        <v>544</v>
      </c>
      <c r="E170" s="11" t="s">
        <v>545</v>
      </c>
      <c r="F170" s="13"/>
    </row>
    <row r="171" spans="1:6">
      <c r="A171" s="11" t="s">
        <v>267</v>
      </c>
      <c r="B171" s="11" t="s">
        <v>538</v>
      </c>
      <c r="C171" s="4" t="s">
        <v>539</v>
      </c>
      <c r="D171" s="11" t="s">
        <v>456</v>
      </c>
      <c r="E171" s="11" t="s">
        <v>457</v>
      </c>
      <c r="F171" s="13"/>
    </row>
    <row r="172" spans="1:6">
      <c r="A172" s="11" t="s">
        <v>267</v>
      </c>
      <c r="B172" s="11" t="s">
        <v>538</v>
      </c>
      <c r="C172" s="4" t="s">
        <v>539</v>
      </c>
      <c r="D172" s="11" t="s">
        <v>546</v>
      </c>
      <c r="E172" s="11" t="s">
        <v>547</v>
      </c>
      <c r="F172" s="13"/>
    </row>
    <row r="173" spans="1:6">
      <c r="A173" s="11" t="s">
        <v>267</v>
      </c>
      <c r="B173" s="11" t="s">
        <v>538</v>
      </c>
      <c r="C173" s="4" t="s">
        <v>539</v>
      </c>
      <c r="D173" s="11" t="s">
        <v>548</v>
      </c>
      <c r="E173" s="11" t="s">
        <v>549</v>
      </c>
      <c r="F173" s="13"/>
    </row>
    <row r="174" spans="1:6">
      <c r="A174" s="11" t="s">
        <v>267</v>
      </c>
      <c r="B174" s="11" t="s">
        <v>538</v>
      </c>
      <c r="C174" s="4" t="s">
        <v>539</v>
      </c>
      <c r="D174" s="11" t="s">
        <v>492</v>
      </c>
      <c r="E174" s="11" t="s">
        <v>493</v>
      </c>
      <c r="F174" s="13"/>
    </row>
    <row r="175" spans="1:6">
      <c r="A175" s="11" t="s">
        <v>267</v>
      </c>
      <c r="B175" s="11" t="s">
        <v>538</v>
      </c>
      <c r="C175" s="4" t="s">
        <v>539</v>
      </c>
      <c r="D175" s="11" t="s">
        <v>550</v>
      </c>
      <c r="E175" s="11" t="s">
        <v>551</v>
      </c>
      <c r="F175" s="13"/>
    </row>
    <row r="176" spans="1:6">
      <c r="A176" s="11" t="s">
        <v>267</v>
      </c>
      <c r="B176" s="11" t="s">
        <v>538</v>
      </c>
      <c r="C176" s="4" t="s">
        <v>539</v>
      </c>
      <c r="D176" s="12">
        <v>98.5104</v>
      </c>
      <c r="E176" s="11" t="s">
        <v>552</v>
      </c>
      <c r="F176" s="13"/>
    </row>
    <row r="177" spans="1:6">
      <c r="A177" s="11" t="s">
        <v>267</v>
      </c>
      <c r="B177" s="11" t="s">
        <v>538</v>
      </c>
      <c r="C177" s="4" t="s">
        <v>539</v>
      </c>
      <c r="D177" s="11" t="s">
        <v>553</v>
      </c>
      <c r="E177" s="11" t="s">
        <v>554</v>
      </c>
      <c r="F177" s="13"/>
    </row>
    <row r="178" spans="1:6">
      <c r="A178" s="11" t="s">
        <v>267</v>
      </c>
      <c r="B178" s="11" t="s">
        <v>538</v>
      </c>
      <c r="C178" s="4" t="s">
        <v>539</v>
      </c>
      <c r="D178" s="11" t="s">
        <v>462</v>
      </c>
      <c r="E178" s="11" t="s">
        <v>463</v>
      </c>
      <c r="F178" s="13"/>
    </row>
    <row r="179" spans="1:6">
      <c r="A179" s="11" t="s">
        <v>267</v>
      </c>
      <c r="B179" s="11" t="s">
        <v>538</v>
      </c>
      <c r="C179" s="4" t="s">
        <v>539</v>
      </c>
      <c r="D179" s="12">
        <v>59.9501</v>
      </c>
      <c r="E179" s="11" t="s">
        <v>555</v>
      </c>
      <c r="F179" s="13"/>
    </row>
    <row r="180" spans="1:6">
      <c r="A180" s="11" t="s">
        <v>267</v>
      </c>
      <c r="B180" s="11" t="s">
        <v>538</v>
      </c>
      <c r="C180" s="4" t="s">
        <v>539</v>
      </c>
      <c r="D180" s="12">
        <v>98.5101</v>
      </c>
      <c r="E180" s="11" t="s">
        <v>556</v>
      </c>
      <c r="F180" s="13"/>
    </row>
    <row r="181" spans="1:6">
      <c r="A181" s="11" t="s">
        <v>267</v>
      </c>
      <c r="B181" s="11" t="s">
        <v>538</v>
      </c>
      <c r="C181" s="4" t="s">
        <v>539</v>
      </c>
      <c r="D181" s="12">
        <v>98.5102</v>
      </c>
      <c r="E181" s="11" t="s">
        <v>557</v>
      </c>
      <c r="F181" s="13"/>
    </row>
    <row r="182" spans="1:6">
      <c r="A182" s="11" t="s">
        <v>267</v>
      </c>
      <c r="B182" s="11" t="s">
        <v>538</v>
      </c>
      <c r="C182" s="4" t="s">
        <v>539</v>
      </c>
      <c r="D182" s="11" t="s">
        <v>558</v>
      </c>
      <c r="E182" s="11" t="s">
        <v>559</v>
      </c>
      <c r="F182" s="13"/>
    </row>
    <row r="183" spans="1:6">
      <c r="A183" s="11" t="s">
        <v>267</v>
      </c>
      <c r="B183" s="11" t="s">
        <v>538</v>
      </c>
      <c r="C183" s="4" t="s">
        <v>539</v>
      </c>
      <c r="D183" s="11" t="s">
        <v>560</v>
      </c>
      <c r="E183" s="11" t="s">
        <v>561</v>
      </c>
      <c r="F183" s="13"/>
    </row>
    <row r="184" spans="1:6">
      <c r="A184" s="11" t="s">
        <v>267</v>
      </c>
      <c r="B184" s="11" t="s">
        <v>538</v>
      </c>
      <c r="C184" s="4" t="s">
        <v>539</v>
      </c>
      <c r="D184" s="11" t="s">
        <v>480</v>
      </c>
      <c r="E184" s="11" t="s">
        <v>481</v>
      </c>
      <c r="F184" s="13"/>
    </row>
    <row r="185" spans="1:6">
      <c r="A185" s="11" t="s">
        <v>267</v>
      </c>
      <c r="B185" s="11" t="s">
        <v>538</v>
      </c>
      <c r="C185" s="4" t="s">
        <v>539</v>
      </c>
      <c r="D185" s="12">
        <v>98.51</v>
      </c>
      <c r="E185" s="11" t="s">
        <v>562</v>
      </c>
      <c r="F185" s="13"/>
    </row>
    <row r="186" spans="1:6">
      <c r="A186" s="11" t="s">
        <v>267</v>
      </c>
      <c r="B186" s="11" t="s">
        <v>538</v>
      </c>
      <c r="C186" s="4" t="s">
        <v>539</v>
      </c>
      <c r="D186" s="11" t="s">
        <v>563</v>
      </c>
      <c r="E186" s="11" t="s">
        <v>564</v>
      </c>
      <c r="F186" s="13"/>
    </row>
    <row r="187" spans="1:6">
      <c r="A187" s="11" t="s">
        <v>267</v>
      </c>
      <c r="B187" s="11" t="s">
        <v>538</v>
      </c>
      <c r="C187" s="4" t="s">
        <v>539</v>
      </c>
      <c r="D187" s="11" t="s">
        <v>565</v>
      </c>
      <c r="E187" s="11" t="s">
        <v>566</v>
      </c>
      <c r="F187" s="13"/>
    </row>
    <row r="188" spans="1:6">
      <c r="A188" s="11" t="s">
        <v>267</v>
      </c>
      <c r="B188" s="11" t="s">
        <v>538</v>
      </c>
      <c r="C188" s="4" t="s">
        <v>539</v>
      </c>
      <c r="D188" s="11" t="s">
        <v>567</v>
      </c>
      <c r="E188" s="11" t="s">
        <v>568</v>
      </c>
      <c r="F188" s="13"/>
    </row>
    <row r="189" spans="1:6">
      <c r="A189" s="11" t="s">
        <v>267</v>
      </c>
      <c r="B189" s="11" t="s">
        <v>538</v>
      </c>
      <c r="C189" s="4" t="s">
        <v>539</v>
      </c>
      <c r="D189" s="12">
        <v>59.9502</v>
      </c>
      <c r="E189" s="11" t="s">
        <v>569</v>
      </c>
      <c r="F189" s="13"/>
    </row>
    <row r="190" spans="1:6">
      <c r="A190" s="11" t="s">
        <v>267</v>
      </c>
      <c r="B190" s="11" t="s">
        <v>538</v>
      </c>
      <c r="C190" s="4" t="s">
        <v>539</v>
      </c>
      <c r="D190" s="12">
        <v>98.5103</v>
      </c>
      <c r="E190" s="11" t="s">
        <v>570</v>
      </c>
      <c r="F190" s="13"/>
    </row>
    <row r="191" spans="1:6">
      <c r="A191" s="11" t="s">
        <v>267</v>
      </c>
      <c r="B191" s="11" t="s">
        <v>538</v>
      </c>
      <c r="C191" s="4" t="s">
        <v>539</v>
      </c>
      <c r="D191" s="12">
        <v>55.0401</v>
      </c>
      <c r="E191" s="11" t="s">
        <v>468</v>
      </c>
      <c r="F191" s="13"/>
    </row>
    <row r="192" spans="1:6">
      <c r="A192" s="11" t="s">
        <v>267</v>
      </c>
      <c r="B192" s="11" t="s">
        <v>538</v>
      </c>
      <c r="C192" s="4" t="s">
        <v>539</v>
      </c>
      <c r="D192" s="11" t="s">
        <v>478</v>
      </c>
      <c r="E192" s="11" t="s">
        <v>479</v>
      </c>
      <c r="F192" s="13"/>
    </row>
    <row r="193" spans="1:6">
      <c r="A193" s="11" t="s">
        <v>267</v>
      </c>
      <c r="B193" s="11" t="s">
        <v>538</v>
      </c>
      <c r="C193" s="4" t="s">
        <v>539</v>
      </c>
      <c r="D193" s="11" t="s">
        <v>482</v>
      </c>
      <c r="E193" s="11" t="s">
        <v>483</v>
      </c>
      <c r="F193" s="13"/>
    </row>
    <row r="194" spans="1:6">
      <c r="A194" s="11" t="s">
        <v>267</v>
      </c>
      <c r="B194" s="11" t="s">
        <v>538</v>
      </c>
      <c r="C194" s="4" t="s">
        <v>539</v>
      </c>
      <c r="D194" s="11" t="s">
        <v>571</v>
      </c>
      <c r="E194" s="11" t="s">
        <v>572</v>
      </c>
      <c r="F194" s="13"/>
    </row>
    <row r="195" spans="1:6">
      <c r="A195" s="11" t="s">
        <v>267</v>
      </c>
      <c r="B195" s="11" t="s">
        <v>538</v>
      </c>
      <c r="C195" s="4" t="s">
        <v>539</v>
      </c>
      <c r="D195" s="11" t="s">
        <v>466</v>
      </c>
      <c r="E195" s="11" t="s">
        <v>467</v>
      </c>
      <c r="F195" s="13"/>
    </row>
    <row r="196" spans="1:6">
      <c r="A196" s="11" t="s">
        <v>267</v>
      </c>
      <c r="B196" s="11" t="s">
        <v>538</v>
      </c>
      <c r="C196" s="4" t="s">
        <v>539</v>
      </c>
      <c r="D196" s="11" t="s">
        <v>573</v>
      </c>
      <c r="E196" s="11" t="s">
        <v>574</v>
      </c>
      <c r="F196" s="13"/>
    </row>
    <row r="197" spans="1:6">
      <c r="A197" s="11" t="s">
        <v>267</v>
      </c>
      <c r="B197" s="11" t="s">
        <v>538</v>
      </c>
      <c r="C197" s="4" t="s">
        <v>539</v>
      </c>
      <c r="D197" s="11" t="s">
        <v>575</v>
      </c>
      <c r="E197" s="11" t="s">
        <v>576</v>
      </c>
      <c r="F197" s="13"/>
    </row>
    <row r="198" spans="1:6">
      <c r="A198" s="11" t="s">
        <v>267</v>
      </c>
      <c r="B198" s="11" t="s">
        <v>538</v>
      </c>
      <c r="C198" s="4" t="s">
        <v>539</v>
      </c>
      <c r="D198" s="12">
        <v>55.0403</v>
      </c>
      <c r="E198" s="11" t="s">
        <v>447</v>
      </c>
      <c r="F198" s="13"/>
    </row>
    <row r="199" spans="1:6">
      <c r="A199" s="11" t="s">
        <v>267</v>
      </c>
      <c r="B199" s="11" t="s">
        <v>538</v>
      </c>
      <c r="C199" s="4" t="s">
        <v>539</v>
      </c>
      <c r="D199" s="11" t="s">
        <v>476</v>
      </c>
      <c r="E199" s="11" t="s">
        <v>477</v>
      </c>
      <c r="F199" s="13"/>
    </row>
    <row r="200" spans="1:6">
      <c r="A200" s="11" t="s">
        <v>267</v>
      </c>
      <c r="B200" s="11" t="s">
        <v>538</v>
      </c>
      <c r="C200" s="4" t="s">
        <v>539</v>
      </c>
      <c r="D200" s="11" t="s">
        <v>474</v>
      </c>
      <c r="E200" s="11" t="s">
        <v>475</v>
      </c>
      <c r="F200" s="13"/>
    </row>
    <row r="201" spans="1:6">
      <c r="A201" s="11" t="s">
        <v>267</v>
      </c>
      <c r="B201" s="11" t="s">
        <v>538</v>
      </c>
      <c r="C201" s="4" t="s">
        <v>539</v>
      </c>
      <c r="D201" s="11" t="s">
        <v>490</v>
      </c>
      <c r="E201" s="11" t="s">
        <v>491</v>
      </c>
      <c r="F201" s="13"/>
    </row>
    <row r="202" spans="1:6">
      <c r="A202" s="11" t="s">
        <v>267</v>
      </c>
      <c r="B202" s="11" t="s">
        <v>538</v>
      </c>
      <c r="C202" s="4" t="s">
        <v>539</v>
      </c>
      <c r="D202" s="11" t="s">
        <v>494</v>
      </c>
      <c r="E202" s="11" t="s">
        <v>495</v>
      </c>
      <c r="F202" s="13"/>
    </row>
    <row r="203" spans="1:6">
      <c r="A203" s="11" t="s">
        <v>267</v>
      </c>
      <c r="B203" s="11" t="s">
        <v>538</v>
      </c>
      <c r="C203" s="4" t="s">
        <v>539</v>
      </c>
      <c r="D203" s="11" t="s">
        <v>577</v>
      </c>
      <c r="E203" s="11" t="s">
        <v>578</v>
      </c>
      <c r="F203" s="13"/>
    </row>
    <row r="204" spans="1:6">
      <c r="A204" s="11" t="s">
        <v>267</v>
      </c>
      <c r="B204" s="11" t="s">
        <v>538</v>
      </c>
      <c r="C204" s="4" t="s">
        <v>539</v>
      </c>
      <c r="D204" s="12">
        <v>55.0402</v>
      </c>
      <c r="E204" s="11" t="s">
        <v>446</v>
      </c>
      <c r="F204" s="13"/>
    </row>
    <row r="205" spans="1:6">
      <c r="A205" s="11" t="s">
        <v>267</v>
      </c>
      <c r="B205" s="11" t="s">
        <v>538</v>
      </c>
      <c r="C205" s="4" t="s">
        <v>539</v>
      </c>
      <c r="D205" s="11" t="s">
        <v>579</v>
      </c>
      <c r="E205" s="11" t="s">
        <v>580</v>
      </c>
      <c r="F205" s="13"/>
    </row>
    <row r="206" spans="1:6">
      <c r="A206" s="11" t="s">
        <v>267</v>
      </c>
      <c r="B206" s="11" t="s">
        <v>538</v>
      </c>
      <c r="C206" s="4" t="s">
        <v>539</v>
      </c>
      <c r="D206" s="11" t="s">
        <v>496</v>
      </c>
      <c r="E206" s="11" t="s">
        <v>497</v>
      </c>
      <c r="F206" s="13"/>
    </row>
    <row r="207" spans="1:6">
      <c r="A207" s="11" t="s">
        <v>267</v>
      </c>
      <c r="B207" s="11" t="s">
        <v>538</v>
      </c>
      <c r="C207" s="4" t="s">
        <v>539</v>
      </c>
      <c r="D207" s="11" t="s">
        <v>581</v>
      </c>
      <c r="E207" s="11" t="s">
        <v>582</v>
      </c>
      <c r="F207" s="13"/>
    </row>
    <row r="208" spans="1:6">
      <c r="A208" s="11" t="s">
        <v>267</v>
      </c>
      <c r="B208" s="11" t="s">
        <v>538</v>
      </c>
      <c r="C208" s="4" t="s">
        <v>539</v>
      </c>
      <c r="D208" s="11" t="s">
        <v>583</v>
      </c>
      <c r="E208" s="11" t="s">
        <v>584</v>
      </c>
      <c r="F208" s="13"/>
    </row>
    <row r="209" spans="1:6">
      <c r="A209" s="11" t="s">
        <v>267</v>
      </c>
      <c r="B209" s="11" t="s">
        <v>538</v>
      </c>
      <c r="C209" s="4" t="s">
        <v>539</v>
      </c>
      <c r="D209" s="11" t="s">
        <v>585</v>
      </c>
      <c r="E209" s="11" t="s">
        <v>586</v>
      </c>
      <c r="F209" s="13"/>
    </row>
    <row r="210" spans="1:6">
      <c r="A210" s="11" t="s">
        <v>267</v>
      </c>
      <c r="B210" s="11" t="s">
        <v>538</v>
      </c>
      <c r="C210" s="4" t="s">
        <v>539</v>
      </c>
      <c r="D210" s="12">
        <v>55.0405</v>
      </c>
      <c r="E210" s="11" t="s">
        <v>587</v>
      </c>
      <c r="F210" s="13"/>
    </row>
    <row r="211" spans="1:6">
      <c r="A211" s="11" t="s">
        <v>267</v>
      </c>
      <c r="B211" s="11" t="s">
        <v>538</v>
      </c>
      <c r="C211" s="4" t="s">
        <v>539</v>
      </c>
      <c r="D211" s="11" t="s">
        <v>464</v>
      </c>
      <c r="E211" s="11" t="s">
        <v>465</v>
      </c>
      <c r="F211" s="13"/>
    </row>
    <row r="212" spans="1:6">
      <c r="A212" s="11" t="s">
        <v>267</v>
      </c>
      <c r="B212" s="11" t="s">
        <v>538</v>
      </c>
      <c r="C212" s="4" t="s">
        <v>539</v>
      </c>
      <c r="D212" s="11" t="s">
        <v>484</v>
      </c>
      <c r="E212" s="11" t="s">
        <v>485</v>
      </c>
      <c r="F212" s="13"/>
    </row>
    <row r="213" spans="1:6">
      <c r="A213" s="11" t="s">
        <v>267</v>
      </c>
      <c r="B213" s="11" t="s">
        <v>538</v>
      </c>
      <c r="C213" s="4" t="s">
        <v>539</v>
      </c>
      <c r="D213" s="12">
        <v>55.0404</v>
      </c>
      <c r="E213" s="11" t="s">
        <v>448</v>
      </c>
      <c r="F213" s="13"/>
    </row>
    <row r="214" spans="1:6">
      <c r="A214" s="11" t="s">
        <v>267</v>
      </c>
      <c r="B214" s="11" t="s">
        <v>538</v>
      </c>
      <c r="C214" s="4" t="s">
        <v>539</v>
      </c>
      <c r="D214" s="11" t="s">
        <v>460</v>
      </c>
      <c r="E214" s="11" t="s">
        <v>461</v>
      </c>
      <c r="F214" s="13"/>
    </row>
    <row r="215" spans="1:6">
      <c r="A215" s="11" t="s">
        <v>267</v>
      </c>
      <c r="B215" s="11" t="s">
        <v>538</v>
      </c>
      <c r="C215" s="4" t="s">
        <v>539</v>
      </c>
      <c r="D215" s="12">
        <v>55.0111</v>
      </c>
      <c r="E215" s="11" t="s">
        <v>588</v>
      </c>
      <c r="F215" s="13"/>
    </row>
    <row r="216" spans="1:6">
      <c r="A216" s="11" t="s">
        <v>267</v>
      </c>
      <c r="B216" s="11" t="s">
        <v>538</v>
      </c>
      <c r="C216" s="4" t="s">
        <v>539</v>
      </c>
      <c r="D216" s="11" t="s">
        <v>449</v>
      </c>
      <c r="E216" s="11" t="s">
        <v>450</v>
      </c>
      <c r="F216" s="13"/>
    </row>
    <row r="217" spans="1:6">
      <c r="A217" s="11" t="s">
        <v>267</v>
      </c>
      <c r="B217" s="11" t="s">
        <v>538</v>
      </c>
      <c r="C217" s="4" t="s">
        <v>539</v>
      </c>
      <c r="D217" s="12">
        <v>55.1101</v>
      </c>
      <c r="E217" s="11" t="s">
        <v>589</v>
      </c>
      <c r="F217" s="13"/>
    </row>
    <row r="218" spans="1:6">
      <c r="A218" s="11" t="s">
        <v>267</v>
      </c>
      <c r="B218" s="11" t="s">
        <v>538</v>
      </c>
      <c r="C218" s="4" t="s">
        <v>539</v>
      </c>
      <c r="D218" s="12">
        <v>55.1109</v>
      </c>
      <c r="E218" s="11" t="s">
        <v>590</v>
      </c>
      <c r="F218" s="13"/>
    </row>
    <row r="219" spans="1:6">
      <c r="A219" s="11" t="s">
        <v>267</v>
      </c>
      <c r="B219" s="11" t="s">
        <v>538</v>
      </c>
      <c r="C219" s="4" t="s">
        <v>539</v>
      </c>
      <c r="D219" s="11" t="s">
        <v>591</v>
      </c>
      <c r="E219" s="11" t="s">
        <v>592</v>
      </c>
      <c r="F219" s="13"/>
    </row>
    <row r="220" spans="1:6">
      <c r="A220" s="11" t="s">
        <v>267</v>
      </c>
      <c r="B220" s="11" t="s">
        <v>538</v>
      </c>
      <c r="C220" s="4" t="s">
        <v>539</v>
      </c>
      <c r="D220" s="11" t="s">
        <v>593</v>
      </c>
      <c r="E220" s="11" t="s">
        <v>594</v>
      </c>
      <c r="F220" s="13"/>
    </row>
    <row r="221" spans="1:6">
      <c r="A221" s="11" t="s">
        <v>267</v>
      </c>
      <c r="B221" s="11" t="s">
        <v>538</v>
      </c>
      <c r="C221" s="4" t="s">
        <v>539</v>
      </c>
      <c r="D221" s="12">
        <v>57.1902</v>
      </c>
      <c r="E221" s="11" t="s">
        <v>595</v>
      </c>
      <c r="F221" s="13"/>
    </row>
    <row r="222" spans="1:6">
      <c r="A222" s="11" t="s">
        <v>267</v>
      </c>
      <c r="B222" s="11" t="s">
        <v>538</v>
      </c>
      <c r="C222" s="4" t="s">
        <v>539</v>
      </c>
      <c r="D222" s="11" t="s">
        <v>596</v>
      </c>
      <c r="E222" s="11" t="s">
        <v>597</v>
      </c>
      <c r="F222" s="13"/>
    </row>
    <row r="223" spans="1:6">
      <c r="A223" s="3" t="s">
        <v>267</v>
      </c>
      <c r="B223" s="3" t="s">
        <v>598</v>
      </c>
      <c r="C223" s="3" t="s">
        <v>269</v>
      </c>
      <c r="D223" s="4">
        <v>57.7901</v>
      </c>
      <c r="E223" s="3" t="s">
        <v>345</v>
      </c>
      <c r="F223" s="3"/>
    </row>
    <row r="224" ht="17" spans="1:6">
      <c r="A224" s="3" t="s">
        <v>267</v>
      </c>
      <c r="B224" s="3" t="s">
        <v>598</v>
      </c>
      <c r="C224" s="3" t="s">
        <v>269</v>
      </c>
      <c r="D224" s="5" t="s">
        <v>346</v>
      </c>
      <c r="E224" s="8" t="s">
        <v>347</v>
      </c>
      <c r="F224" s="3"/>
    </row>
    <row r="225" ht="17" spans="1:6">
      <c r="A225" s="3" t="s">
        <v>267</v>
      </c>
      <c r="B225" s="3" t="s">
        <v>598</v>
      </c>
      <c r="C225" s="3" t="s">
        <v>269</v>
      </c>
      <c r="D225" s="5" t="s">
        <v>348</v>
      </c>
      <c r="E225" s="8" t="s">
        <v>349</v>
      </c>
      <c r="F225" s="3"/>
    </row>
    <row r="226" ht="17" spans="1:6">
      <c r="A226" s="3" t="s">
        <v>267</v>
      </c>
      <c r="B226" s="3" t="s">
        <v>598</v>
      </c>
      <c r="C226" s="3" t="s">
        <v>269</v>
      </c>
      <c r="D226" s="5" t="s">
        <v>350</v>
      </c>
      <c r="E226" s="8" t="s">
        <v>351</v>
      </c>
      <c r="F226" s="3"/>
    </row>
    <row r="227" ht="17" spans="1:6">
      <c r="A227" s="3" t="s">
        <v>267</v>
      </c>
      <c r="B227" s="3" t="s">
        <v>598</v>
      </c>
      <c r="C227" s="3" t="s">
        <v>269</v>
      </c>
      <c r="D227" s="5" t="s">
        <v>352</v>
      </c>
      <c r="E227" s="8" t="s">
        <v>353</v>
      </c>
      <c r="F227" s="3"/>
    </row>
    <row r="228" ht="17" spans="1:6">
      <c r="A228" s="3" t="s">
        <v>267</v>
      </c>
      <c r="B228" s="3" t="s">
        <v>598</v>
      </c>
      <c r="C228" s="3" t="s">
        <v>269</v>
      </c>
      <c r="D228" s="5" t="s">
        <v>354</v>
      </c>
      <c r="E228" s="8" t="s">
        <v>355</v>
      </c>
      <c r="F228" s="3"/>
    </row>
    <row r="229" spans="1:6">
      <c r="A229" s="3" t="s">
        <v>267</v>
      </c>
      <c r="B229" s="3" t="s">
        <v>599</v>
      </c>
      <c r="C229" s="4" t="s">
        <v>539</v>
      </c>
      <c r="D229" s="3" t="s">
        <v>600</v>
      </c>
      <c r="E229" s="11" t="s">
        <v>601</v>
      </c>
      <c r="F229" s="3"/>
    </row>
    <row r="230" spans="1:6">
      <c r="A230" s="3" t="s">
        <v>267</v>
      </c>
      <c r="B230" s="3" t="s">
        <v>599</v>
      </c>
      <c r="C230" s="4" t="s">
        <v>539</v>
      </c>
      <c r="D230" s="3" t="s">
        <v>602</v>
      </c>
      <c r="E230" s="11" t="s">
        <v>603</v>
      </c>
      <c r="F230" s="3"/>
    </row>
    <row r="231" spans="1:6">
      <c r="A231" s="3" t="s">
        <v>267</v>
      </c>
      <c r="B231" s="3" t="s">
        <v>599</v>
      </c>
      <c r="C231" s="4" t="s">
        <v>539</v>
      </c>
      <c r="D231" s="3" t="s">
        <v>604</v>
      </c>
      <c r="E231" s="11" t="s">
        <v>605</v>
      </c>
      <c r="F231" s="3"/>
    </row>
    <row r="232" spans="1:6">
      <c r="A232" s="3" t="s">
        <v>267</v>
      </c>
      <c r="B232" s="3" t="s">
        <v>599</v>
      </c>
      <c r="C232" s="4" t="s">
        <v>539</v>
      </c>
      <c r="D232" s="3" t="s">
        <v>606</v>
      </c>
      <c r="E232" s="11" t="s">
        <v>607</v>
      </c>
      <c r="F232" s="3"/>
    </row>
    <row r="233" spans="1:6">
      <c r="A233" s="3" t="s">
        <v>267</v>
      </c>
      <c r="B233" s="3" t="s">
        <v>599</v>
      </c>
      <c r="C233" s="4" t="s">
        <v>539</v>
      </c>
      <c r="D233" s="3" t="s">
        <v>608</v>
      </c>
      <c r="E233" s="11" t="s">
        <v>609</v>
      </c>
      <c r="F233" s="11"/>
    </row>
    <row r="234" spans="1:6">
      <c r="A234" s="3" t="s">
        <v>267</v>
      </c>
      <c r="B234" s="3" t="s">
        <v>599</v>
      </c>
      <c r="C234" s="4" t="s">
        <v>539</v>
      </c>
      <c r="D234" s="3" t="s">
        <v>610</v>
      </c>
      <c r="E234" s="11" t="s">
        <v>611</v>
      </c>
      <c r="F234" s="11"/>
    </row>
    <row r="235" spans="1:6">
      <c r="A235" s="3" t="s">
        <v>267</v>
      </c>
      <c r="B235" s="3" t="s">
        <v>599</v>
      </c>
      <c r="C235" s="4" t="s">
        <v>539</v>
      </c>
      <c r="D235" s="3" t="s">
        <v>612</v>
      </c>
      <c r="E235" s="11" t="s">
        <v>613</v>
      </c>
      <c r="F235" s="11"/>
    </row>
    <row r="236" spans="1:6">
      <c r="A236" s="3" t="s">
        <v>267</v>
      </c>
      <c r="B236" s="3" t="s">
        <v>599</v>
      </c>
      <c r="C236" s="4" t="s">
        <v>539</v>
      </c>
      <c r="D236" s="3" t="s">
        <v>614</v>
      </c>
      <c r="E236" s="11" t="s">
        <v>615</v>
      </c>
      <c r="F236" s="11"/>
    </row>
    <row r="237" spans="1:6">
      <c r="A237" s="3" t="s">
        <v>267</v>
      </c>
      <c r="B237" s="3" t="s">
        <v>599</v>
      </c>
      <c r="C237" s="4" t="s">
        <v>539</v>
      </c>
      <c r="D237" s="3" t="s">
        <v>616</v>
      </c>
      <c r="E237" s="11" t="s">
        <v>617</v>
      </c>
      <c r="F237" s="11"/>
    </row>
    <row r="238" spans="1:6">
      <c r="A238" s="3" t="s">
        <v>267</v>
      </c>
      <c r="B238" s="13" t="s">
        <v>618</v>
      </c>
      <c r="C238" s="4" t="s">
        <v>539</v>
      </c>
      <c r="D238" s="13" t="s">
        <v>608</v>
      </c>
      <c r="E238" s="13" t="s">
        <v>609</v>
      </c>
      <c r="F238" s="13"/>
    </row>
    <row r="239" spans="1:6">
      <c r="A239" s="3" t="s">
        <v>267</v>
      </c>
      <c r="B239" s="13" t="s">
        <v>618</v>
      </c>
      <c r="C239" s="4" t="s">
        <v>539</v>
      </c>
      <c r="D239" s="13" t="s">
        <v>610</v>
      </c>
      <c r="E239" s="13" t="s">
        <v>611</v>
      </c>
      <c r="F239" s="13"/>
    </row>
    <row r="240" spans="1:6">
      <c r="A240" s="3" t="s">
        <v>267</v>
      </c>
      <c r="B240" s="13" t="s">
        <v>618</v>
      </c>
      <c r="C240" s="4" t="s">
        <v>539</v>
      </c>
      <c r="D240" s="13" t="s">
        <v>612</v>
      </c>
      <c r="E240" s="13" t="s">
        <v>613</v>
      </c>
      <c r="F240" s="13"/>
    </row>
    <row r="241" spans="1:6">
      <c r="A241" s="3" t="s">
        <v>267</v>
      </c>
      <c r="B241" s="13" t="s">
        <v>618</v>
      </c>
      <c r="C241" s="4" t="s">
        <v>539</v>
      </c>
      <c r="D241" s="13" t="s">
        <v>619</v>
      </c>
      <c r="E241" s="13" t="s">
        <v>620</v>
      </c>
      <c r="F241" s="13"/>
    </row>
    <row r="242" spans="1:6">
      <c r="A242" s="3" t="s">
        <v>267</v>
      </c>
      <c r="B242" s="13" t="s">
        <v>618</v>
      </c>
      <c r="C242" s="4" t="s">
        <v>539</v>
      </c>
      <c r="D242" s="13" t="s">
        <v>621</v>
      </c>
      <c r="E242" s="13" t="s">
        <v>622</v>
      </c>
      <c r="F242" s="13"/>
    </row>
    <row r="243" spans="1:6">
      <c r="A243" s="3" t="s">
        <v>267</v>
      </c>
      <c r="B243" s="13" t="s">
        <v>618</v>
      </c>
      <c r="C243" s="4" t="s">
        <v>539</v>
      </c>
      <c r="D243" s="13" t="s">
        <v>623</v>
      </c>
      <c r="E243" s="13" t="s">
        <v>624</v>
      </c>
      <c r="F243" s="13"/>
    </row>
    <row r="244" spans="1:6">
      <c r="A244" s="3" t="s">
        <v>267</v>
      </c>
      <c r="B244" s="13" t="s">
        <v>618</v>
      </c>
      <c r="C244" s="4" t="s">
        <v>539</v>
      </c>
      <c r="D244" s="13" t="s">
        <v>625</v>
      </c>
      <c r="E244" s="13" t="s">
        <v>626</v>
      </c>
      <c r="F244" s="13"/>
    </row>
    <row r="245" spans="1:6">
      <c r="A245" s="3" t="s">
        <v>267</v>
      </c>
      <c r="B245" s="13" t="s">
        <v>618</v>
      </c>
      <c r="C245" s="4" t="s">
        <v>539</v>
      </c>
      <c r="D245" s="13" t="s">
        <v>627</v>
      </c>
      <c r="E245" s="13" t="s">
        <v>628</v>
      </c>
      <c r="F245" s="13"/>
    </row>
    <row r="246" spans="1:6">
      <c r="A246" s="3" t="s">
        <v>267</v>
      </c>
      <c r="B246" s="13" t="s">
        <v>618</v>
      </c>
      <c r="C246" s="4" t="s">
        <v>539</v>
      </c>
      <c r="D246" s="13" t="s">
        <v>629</v>
      </c>
      <c r="E246" s="13" t="s">
        <v>630</v>
      </c>
      <c r="F246" s="13"/>
    </row>
    <row r="247" spans="1:6">
      <c r="A247" s="3" t="s">
        <v>267</v>
      </c>
      <c r="B247" s="13" t="s">
        <v>618</v>
      </c>
      <c r="C247" s="4" t="s">
        <v>539</v>
      </c>
      <c r="D247" s="13" t="s">
        <v>631</v>
      </c>
      <c r="E247" s="13" t="s">
        <v>632</v>
      </c>
      <c r="F247" s="13"/>
    </row>
    <row r="248" spans="1:6">
      <c r="A248" s="3" t="s">
        <v>267</v>
      </c>
      <c r="B248" s="13" t="s">
        <v>618</v>
      </c>
      <c r="C248" s="4" t="s">
        <v>539</v>
      </c>
      <c r="D248" s="13" t="s">
        <v>633</v>
      </c>
      <c r="E248" s="13" t="s">
        <v>634</v>
      </c>
      <c r="F248" s="13"/>
    </row>
    <row r="249" spans="1:6">
      <c r="A249" s="3" t="s">
        <v>267</v>
      </c>
      <c r="B249" s="13" t="s">
        <v>618</v>
      </c>
      <c r="C249" s="4" t="s">
        <v>539</v>
      </c>
      <c r="D249" s="13" t="s">
        <v>635</v>
      </c>
      <c r="E249" s="13" t="s">
        <v>636</v>
      </c>
      <c r="F249" s="13"/>
    </row>
    <row r="250" spans="1:6">
      <c r="A250" s="3" t="s">
        <v>267</v>
      </c>
      <c r="B250" s="13" t="s">
        <v>618</v>
      </c>
      <c r="C250" s="4" t="s">
        <v>539</v>
      </c>
      <c r="D250" s="13" t="s">
        <v>616</v>
      </c>
      <c r="E250" s="13" t="s">
        <v>617</v>
      </c>
      <c r="F250" s="13"/>
    </row>
    <row r="251" spans="1:6">
      <c r="A251" s="3" t="s">
        <v>267</v>
      </c>
      <c r="B251" s="13" t="s">
        <v>618</v>
      </c>
      <c r="C251" s="4" t="s">
        <v>539</v>
      </c>
      <c r="D251" s="13" t="s">
        <v>637</v>
      </c>
      <c r="E251" s="13" t="s">
        <v>638</v>
      </c>
      <c r="F251" s="13"/>
    </row>
    <row r="252" spans="1:6">
      <c r="A252" s="3" t="s">
        <v>267</v>
      </c>
      <c r="B252" s="13" t="s">
        <v>639</v>
      </c>
      <c r="C252" s="4" t="s">
        <v>539</v>
      </c>
      <c r="D252" s="13" t="s">
        <v>640</v>
      </c>
      <c r="E252" s="13" t="s">
        <v>641</v>
      </c>
      <c r="F252" s="13"/>
    </row>
    <row r="253" spans="1:6">
      <c r="A253" s="3" t="s">
        <v>267</v>
      </c>
      <c r="B253" s="13" t="s">
        <v>639</v>
      </c>
      <c r="C253" s="4" t="s">
        <v>539</v>
      </c>
      <c r="D253" s="13" t="s">
        <v>642</v>
      </c>
      <c r="E253" s="13" t="s">
        <v>643</v>
      </c>
      <c r="F253" s="13"/>
    </row>
    <row r="254" spans="1:6">
      <c r="A254" s="3" t="s">
        <v>267</v>
      </c>
      <c r="B254" s="13" t="s">
        <v>639</v>
      </c>
      <c r="C254" s="4" t="s">
        <v>539</v>
      </c>
      <c r="D254" s="13" t="s">
        <v>644</v>
      </c>
      <c r="E254" s="13" t="s">
        <v>645</v>
      </c>
      <c r="F254" s="13"/>
    </row>
    <row r="255" spans="1:6">
      <c r="A255" s="3" t="s">
        <v>267</v>
      </c>
      <c r="B255" s="13" t="s">
        <v>639</v>
      </c>
      <c r="C255" s="4" t="s">
        <v>539</v>
      </c>
      <c r="D255" s="13" t="s">
        <v>646</v>
      </c>
      <c r="E255" s="13" t="s">
        <v>647</v>
      </c>
      <c r="F255" s="13"/>
    </row>
    <row r="256" spans="1:6">
      <c r="A256" s="3" t="s">
        <v>267</v>
      </c>
      <c r="B256" s="13" t="s">
        <v>639</v>
      </c>
      <c r="C256" s="4" t="s">
        <v>539</v>
      </c>
      <c r="D256" s="13" t="s">
        <v>648</v>
      </c>
      <c r="E256" s="13" t="s">
        <v>649</v>
      </c>
      <c r="F256" s="13"/>
    </row>
    <row r="257" spans="1:6">
      <c r="A257" s="3" t="s">
        <v>267</v>
      </c>
      <c r="B257" s="13" t="s">
        <v>639</v>
      </c>
      <c r="C257" s="4" t="s">
        <v>539</v>
      </c>
      <c r="D257" s="13" t="s">
        <v>650</v>
      </c>
      <c r="E257" s="13" t="s">
        <v>651</v>
      </c>
      <c r="F257" s="13"/>
    </row>
    <row r="258" spans="1:6">
      <c r="A258" s="3" t="s">
        <v>267</v>
      </c>
      <c r="B258" s="13" t="s">
        <v>639</v>
      </c>
      <c r="C258" s="4" t="s">
        <v>539</v>
      </c>
      <c r="D258" s="13" t="s">
        <v>652</v>
      </c>
      <c r="E258" s="13" t="s">
        <v>653</v>
      </c>
      <c r="F258" s="13"/>
    </row>
    <row r="259" spans="1:6">
      <c r="A259" s="3" t="s">
        <v>267</v>
      </c>
      <c r="B259" s="13" t="s">
        <v>639</v>
      </c>
      <c r="C259" s="4" t="s">
        <v>539</v>
      </c>
      <c r="D259" s="13" t="s">
        <v>625</v>
      </c>
      <c r="E259" s="13" t="s">
        <v>626</v>
      </c>
      <c r="F259" s="13"/>
    </row>
    <row r="260" spans="1:6">
      <c r="A260" s="3" t="s">
        <v>267</v>
      </c>
      <c r="B260" s="13" t="s">
        <v>639</v>
      </c>
      <c r="C260" s="4" t="s">
        <v>539</v>
      </c>
      <c r="D260" s="13" t="s">
        <v>654</v>
      </c>
      <c r="E260" s="13" t="s">
        <v>655</v>
      </c>
      <c r="F260" s="13"/>
    </row>
    <row r="261" spans="1:6">
      <c r="A261" s="3" t="s">
        <v>267</v>
      </c>
      <c r="B261" s="13" t="s">
        <v>639</v>
      </c>
      <c r="C261" s="4" t="s">
        <v>539</v>
      </c>
      <c r="D261" s="13" t="s">
        <v>656</v>
      </c>
      <c r="E261" s="13" t="s">
        <v>657</v>
      </c>
      <c r="F261" s="13"/>
    </row>
    <row r="262" spans="1:6">
      <c r="A262" s="3" t="s">
        <v>267</v>
      </c>
      <c r="B262" s="13" t="s">
        <v>639</v>
      </c>
      <c r="C262" s="4" t="s">
        <v>539</v>
      </c>
      <c r="D262" s="13" t="s">
        <v>658</v>
      </c>
      <c r="E262" s="13" t="s">
        <v>659</v>
      </c>
      <c r="F262" s="13"/>
    </row>
    <row r="263" spans="1:6">
      <c r="A263" s="3" t="s">
        <v>267</v>
      </c>
      <c r="B263" s="13" t="s">
        <v>639</v>
      </c>
      <c r="C263" s="4" t="s">
        <v>539</v>
      </c>
      <c r="D263" s="13" t="s">
        <v>660</v>
      </c>
      <c r="E263" s="13" t="s">
        <v>661</v>
      </c>
      <c r="F263" s="13"/>
    </row>
    <row r="264" spans="1:6">
      <c r="A264" s="3" t="s">
        <v>267</v>
      </c>
      <c r="B264" s="13" t="s">
        <v>639</v>
      </c>
      <c r="C264" s="4" t="s">
        <v>539</v>
      </c>
      <c r="D264" s="13" t="s">
        <v>662</v>
      </c>
      <c r="E264" s="13" t="s">
        <v>663</v>
      </c>
      <c r="F264" s="13"/>
    </row>
    <row r="265" spans="1:6">
      <c r="A265" s="3" t="s">
        <v>267</v>
      </c>
      <c r="B265" s="13" t="s">
        <v>639</v>
      </c>
      <c r="C265" s="4" t="s">
        <v>539</v>
      </c>
      <c r="D265" s="13" t="s">
        <v>631</v>
      </c>
      <c r="E265" s="13" t="s">
        <v>632</v>
      </c>
      <c r="F265" s="13"/>
    </row>
    <row r="266" spans="1:6">
      <c r="A266" s="3" t="s">
        <v>267</v>
      </c>
      <c r="B266" s="13" t="s">
        <v>639</v>
      </c>
      <c r="C266" s="4" t="s">
        <v>539</v>
      </c>
      <c r="D266" s="13" t="s">
        <v>664</v>
      </c>
      <c r="E266" s="13" t="s">
        <v>665</v>
      </c>
      <c r="F266" s="13"/>
    </row>
    <row r="267" spans="1:6">
      <c r="A267" s="3" t="s">
        <v>267</v>
      </c>
      <c r="B267" s="13" t="s">
        <v>639</v>
      </c>
      <c r="C267" s="4" t="s">
        <v>539</v>
      </c>
      <c r="D267" s="13" t="s">
        <v>633</v>
      </c>
      <c r="E267" s="13" t="s">
        <v>634</v>
      </c>
      <c r="F267" s="13"/>
    </row>
    <row r="268" spans="1:6">
      <c r="A268" s="3" t="s">
        <v>267</v>
      </c>
      <c r="B268" s="13" t="s">
        <v>639</v>
      </c>
      <c r="C268" s="4" t="s">
        <v>539</v>
      </c>
      <c r="D268" s="13" t="s">
        <v>666</v>
      </c>
      <c r="E268" s="13" t="s">
        <v>667</v>
      </c>
      <c r="F268" s="13"/>
    </row>
    <row r="269" spans="1:6">
      <c r="A269" s="3" t="s">
        <v>267</v>
      </c>
      <c r="B269" s="13" t="s">
        <v>639</v>
      </c>
      <c r="C269" s="4" t="s">
        <v>539</v>
      </c>
      <c r="D269" s="13" t="s">
        <v>668</v>
      </c>
      <c r="E269" s="13" t="s">
        <v>669</v>
      </c>
      <c r="F269" s="13"/>
    </row>
    <row r="270" spans="1:6">
      <c r="A270" s="3" t="s">
        <v>267</v>
      </c>
      <c r="B270" s="13" t="s">
        <v>639</v>
      </c>
      <c r="C270" s="4" t="s">
        <v>539</v>
      </c>
      <c r="D270" s="13" t="s">
        <v>670</v>
      </c>
      <c r="E270" s="13" t="s">
        <v>671</v>
      </c>
      <c r="F270" s="13"/>
    </row>
    <row r="271" spans="1:6">
      <c r="A271" s="3" t="s">
        <v>267</v>
      </c>
      <c r="B271" s="13" t="s">
        <v>672</v>
      </c>
      <c r="C271" s="3" t="s">
        <v>269</v>
      </c>
      <c r="D271" s="4">
        <v>55.31</v>
      </c>
      <c r="E271" s="3" t="s">
        <v>270</v>
      </c>
      <c r="F271" s="3"/>
    </row>
    <row r="272" spans="1:6">
      <c r="A272" s="3" t="s">
        <v>267</v>
      </c>
      <c r="B272" s="13" t="s">
        <v>672</v>
      </c>
      <c r="C272" s="3" t="s">
        <v>269</v>
      </c>
      <c r="D272" s="4">
        <v>55.39</v>
      </c>
      <c r="E272" s="3" t="s">
        <v>272</v>
      </c>
      <c r="F272" s="3"/>
    </row>
    <row r="273" spans="1:6">
      <c r="A273" s="3" t="s">
        <v>267</v>
      </c>
      <c r="B273" s="13" t="s">
        <v>672</v>
      </c>
      <c r="C273" s="3" t="s">
        <v>269</v>
      </c>
      <c r="D273" s="4" t="s">
        <v>273</v>
      </c>
      <c r="E273" s="3" t="s">
        <v>274</v>
      </c>
      <c r="F273" s="3"/>
    </row>
    <row r="274" spans="1:6">
      <c r="A274" s="3" t="s">
        <v>267</v>
      </c>
      <c r="B274" s="13" t="s">
        <v>672</v>
      </c>
      <c r="C274" s="3" t="s">
        <v>269</v>
      </c>
      <c r="D274" s="4" t="s">
        <v>275</v>
      </c>
      <c r="E274" s="3" t="s">
        <v>276</v>
      </c>
      <c r="F274" s="3"/>
    </row>
    <row r="275" spans="1:6">
      <c r="A275" s="3" t="s">
        <v>267</v>
      </c>
      <c r="B275" s="13" t="s">
        <v>672</v>
      </c>
      <c r="C275" s="3" t="s">
        <v>269</v>
      </c>
      <c r="D275" s="4" t="s">
        <v>277</v>
      </c>
      <c r="E275" s="3" t="s">
        <v>278</v>
      </c>
      <c r="F275" s="3"/>
    </row>
    <row r="276" spans="1:6">
      <c r="A276" s="3" t="s">
        <v>267</v>
      </c>
      <c r="B276" s="13" t="s">
        <v>672</v>
      </c>
      <c r="C276" s="3" t="s">
        <v>269</v>
      </c>
      <c r="D276" s="4" t="s">
        <v>279</v>
      </c>
      <c r="E276" s="3" t="s">
        <v>280</v>
      </c>
      <c r="F276" s="3"/>
    </row>
    <row r="277" spans="1:6">
      <c r="A277" s="3" t="s">
        <v>267</v>
      </c>
      <c r="B277" s="13" t="s">
        <v>672</v>
      </c>
      <c r="C277" s="3" t="s">
        <v>269</v>
      </c>
      <c r="D277" s="4" t="s">
        <v>281</v>
      </c>
      <c r="E277" s="3" t="s">
        <v>282</v>
      </c>
      <c r="F277" s="3"/>
    </row>
    <row r="278" spans="1:6">
      <c r="A278" s="3" t="s">
        <v>267</v>
      </c>
      <c r="B278" s="13" t="s">
        <v>672</v>
      </c>
      <c r="C278" s="3" t="s">
        <v>269</v>
      </c>
      <c r="D278" s="4" t="s">
        <v>283</v>
      </c>
      <c r="E278" s="3" t="s">
        <v>284</v>
      </c>
      <c r="F278" s="3"/>
    </row>
    <row r="279" spans="1:6">
      <c r="A279" s="3" t="s">
        <v>267</v>
      </c>
      <c r="B279" s="13" t="s">
        <v>672</v>
      </c>
      <c r="C279" s="3" t="s">
        <v>269</v>
      </c>
      <c r="D279" s="4" t="s">
        <v>285</v>
      </c>
      <c r="E279" s="3" t="s">
        <v>286</v>
      </c>
      <c r="F279" s="3"/>
    </row>
    <row r="280" spans="1:6">
      <c r="A280" s="3" t="s">
        <v>267</v>
      </c>
      <c r="B280" s="13" t="s">
        <v>672</v>
      </c>
      <c r="C280" s="3" t="s">
        <v>269</v>
      </c>
      <c r="D280" s="4" t="s">
        <v>287</v>
      </c>
      <c r="E280" s="3" t="s">
        <v>288</v>
      </c>
      <c r="F280" s="3"/>
    </row>
    <row r="281" spans="1:6">
      <c r="A281" s="3" t="s">
        <v>267</v>
      </c>
      <c r="B281" s="13" t="s">
        <v>672</v>
      </c>
      <c r="C281" s="3" t="s">
        <v>269</v>
      </c>
      <c r="D281" s="4" t="s">
        <v>289</v>
      </c>
      <c r="E281" s="3" t="s">
        <v>290</v>
      </c>
      <c r="F281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重点专业采集方案</vt:lpstr>
      <vt:lpstr>重点专业字典表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妈咪爱叮当</cp:lastModifiedBy>
  <dcterms:created xsi:type="dcterms:W3CDTF">2024-09-15T09:21:00Z</dcterms:created>
  <dcterms:modified xsi:type="dcterms:W3CDTF">2025-11-27T09:39:25Z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22CB1F8793F0455FBFA7A38664CBF4B4_12</vt:lpwstr>
  </property>
  <property fmtid="{D5CDD505-2E9C-101B-9397-08002B2CF9AE}" pid="3" name="KSOProductBuildVer">
    <vt:lpwstr>2052-6.14.0.8924</vt:lpwstr>
  </property>
</Properties>
</file>